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kup" sheetId="1" r:id="rId4"/>
    <sheet state="hidden" name="November-24" sheetId="2" r:id="rId5"/>
    <sheet state="hidden" name="Dec-24" sheetId="3" r:id="rId6"/>
    <sheet state="hidden" name="Jan-2025" sheetId="4" r:id="rId7"/>
    <sheet state="hidden" name="Feb-2025" sheetId="5" r:id="rId8"/>
    <sheet state="hidden" name="Mar-2025" sheetId="6" r:id="rId9"/>
    <sheet state="hidden" name="Apr-2025" sheetId="7" r:id="rId10"/>
    <sheet state="hidden" name="May-2025" sheetId="8" r:id="rId11"/>
    <sheet state="hidden" name="Jun-2025" sheetId="9" r:id="rId12"/>
    <sheet state="hidden" name="July-2025" sheetId="10" r:id="rId13"/>
    <sheet state="hidden" name="Aug-2025" sheetId="11" r:id="rId14"/>
    <sheet state="hidden" name="Sept-2025" sheetId="12" r:id="rId15"/>
    <sheet state="hidden" name="Oct-2025" sheetId="13" r:id="rId16"/>
    <sheet state="hidden" name="Nov-2025" sheetId="14" r:id="rId17"/>
    <sheet state="hidden" name="Dec-2025" sheetId="15" r:id="rId18"/>
    <sheet state="visible" name="Jan-2026" sheetId="16" r:id="rId19"/>
    <sheet state="visible" name="Feb-2026" sheetId="17" r:id="rId20"/>
    <sheet state="visible" name="Mar-2026" sheetId="18" r:id="rId21"/>
    <sheet state="visible" name="Apr-2026" sheetId="19" r:id="rId22"/>
    <sheet state="visible" name="Attendance key" sheetId="20" r:id="rId23"/>
  </sheets>
  <definedNames>
    <definedName hidden="1" localSheetId="3" name="_xlnm._FilterDatabase">'Jan-2025'!$B$2:$AN$35</definedName>
  </definedNames>
  <calcPr/>
</workbook>
</file>

<file path=xl/sharedStrings.xml><?xml version="1.0" encoding="utf-8"?>
<sst xmlns="http://schemas.openxmlformats.org/spreadsheetml/2006/main" count="9022" uniqueCount="96">
  <si>
    <t>\</t>
  </si>
  <si>
    <t>Paid Leave</t>
  </si>
  <si>
    <t xml:space="preserve">Worked day 30 </t>
  </si>
  <si>
    <t>Worked day 29</t>
  </si>
  <si>
    <t>Worked day 28</t>
  </si>
  <si>
    <t>Month</t>
  </si>
  <si>
    <t>Total Payable Days</t>
  </si>
  <si>
    <t>Key</t>
  </si>
  <si>
    <t>Name</t>
  </si>
  <si>
    <t>Department</t>
  </si>
  <si>
    <t>Akhil</t>
  </si>
  <si>
    <t>Captain</t>
  </si>
  <si>
    <t>Service</t>
  </si>
  <si>
    <t>Present</t>
  </si>
  <si>
    <t>Laxmi Bai</t>
  </si>
  <si>
    <t>Helper</t>
  </si>
  <si>
    <t>Mori</t>
  </si>
  <si>
    <t>Moleem</t>
  </si>
  <si>
    <t>Chef</t>
  </si>
  <si>
    <t>Tandoor</t>
  </si>
  <si>
    <t>Off</t>
  </si>
  <si>
    <t>Suhail</t>
  </si>
  <si>
    <t>Waiter</t>
  </si>
  <si>
    <t>Sameer</t>
  </si>
  <si>
    <t>Wakil</t>
  </si>
  <si>
    <t>Vijay</t>
  </si>
  <si>
    <t>Naseem</t>
  </si>
  <si>
    <t>Supervisor</t>
  </si>
  <si>
    <t>Rajesh</t>
  </si>
  <si>
    <t>Combi</t>
  </si>
  <si>
    <t>Ayub</t>
  </si>
  <si>
    <t>Tava</t>
  </si>
  <si>
    <t>Aasif</t>
  </si>
  <si>
    <t>Indian</t>
  </si>
  <si>
    <t>Half Day</t>
  </si>
  <si>
    <t>Baitulla</t>
  </si>
  <si>
    <t>Glenn Sir</t>
  </si>
  <si>
    <t>Manager</t>
  </si>
  <si>
    <t>Left</t>
  </si>
  <si>
    <t>Abdullah</t>
  </si>
  <si>
    <t>Chinese</t>
  </si>
  <si>
    <t>Mujeem</t>
  </si>
  <si>
    <t>Biller</t>
  </si>
  <si>
    <t>Danish</t>
  </si>
  <si>
    <t>Irfan</t>
  </si>
  <si>
    <t xml:space="preserve"> </t>
  </si>
  <si>
    <t>Role</t>
  </si>
  <si>
    <t>Santosh</t>
  </si>
  <si>
    <t>Khenya</t>
  </si>
  <si>
    <t>Advance</t>
  </si>
  <si>
    <t>mori</t>
  </si>
  <si>
    <t>Ad.Payment</t>
  </si>
  <si>
    <t>LWD</t>
  </si>
  <si>
    <t>Nafees</t>
  </si>
  <si>
    <t>Zuber</t>
  </si>
  <si>
    <t>Shawarma</t>
  </si>
  <si>
    <t>Total payable Days</t>
  </si>
  <si>
    <t>Junaid</t>
  </si>
  <si>
    <t>Abid</t>
  </si>
  <si>
    <t xml:space="preserve">  </t>
  </si>
  <si>
    <t>Rehman</t>
  </si>
  <si>
    <t>Cleaner</t>
  </si>
  <si>
    <t>Ram Kumar</t>
  </si>
  <si>
    <t>Mukesh</t>
  </si>
  <si>
    <t>Rahman</t>
  </si>
  <si>
    <t>Prakash</t>
  </si>
  <si>
    <t>Aditya</t>
  </si>
  <si>
    <t>Imran</t>
  </si>
  <si>
    <t>Saday Varis</t>
  </si>
  <si>
    <t>Hasim</t>
  </si>
  <si>
    <t>sameer service</t>
  </si>
  <si>
    <t>Sajid Noori</t>
  </si>
  <si>
    <t>Head Chef</t>
  </si>
  <si>
    <t>Mustafa Raza</t>
  </si>
  <si>
    <t>Raju</t>
  </si>
  <si>
    <t>Ayaz</t>
  </si>
  <si>
    <t>`</t>
  </si>
  <si>
    <t>Noor</t>
  </si>
  <si>
    <t>Manohar</t>
  </si>
  <si>
    <t xml:space="preserve">` </t>
  </si>
  <si>
    <t>Dinesh</t>
  </si>
  <si>
    <t>VIjay</t>
  </si>
  <si>
    <t>Abhishek</t>
  </si>
  <si>
    <t>Rakesh</t>
  </si>
  <si>
    <t>Umesh</t>
  </si>
  <si>
    <t>Gulab</t>
  </si>
  <si>
    <t xml:space="preserve">Umesh </t>
  </si>
  <si>
    <t>Abhisek</t>
  </si>
  <si>
    <t>mohri</t>
  </si>
  <si>
    <t>Rohan</t>
  </si>
  <si>
    <t>Amit</t>
  </si>
  <si>
    <t>SETTINGS</t>
  </si>
  <si>
    <t>ATTENDANCE KEY</t>
  </si>
  <si>
    <t>Change the attendance key by updating the values below.</t>
  </si>
  <si>
    <t>Leave</t>
  </si>
  <si>
    <t>Attried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</si>
</sst>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&quot;/&quot;d"/>
    <numFmt numFmtId="165" formatCode="d&quot;/&quot;m"/>
    <numFmt numFmtId="166" formatCode="ddd"/>
    <numFmt numFmtId="167" formatCode="dd-mm-yyyy"/>
    <numFmt numFmtId="168" formatCode="dd/MM/yyyy"/>
    <numFmt numFmtId="169" formatCode="d-m-yyyy"/>
    <numFmt numFmtId="170" formatCode="dd-mm-yy"/>
  </numFmts>
  <fonts count="35">
    <font>
      <sz val="10.0"/>
      <color rgb="FF000000"/>
      <name val="Arial"/>
    </font>
    <font>
      <sz val="11.0"/>
      <color rgb="FF000000"/>
      <name val="Calibri"/>
    </font>
    <font>
      <sz val="11.0"/>
    </font>
    <font>
      <sz val="12.0"/>
      <color rgb="FFFFFFFF"/>
      <name val="Roboto"/>
    </font>
    <font>
      <sz val="12.0"/>
      <color rgb="FF2A3990"/>
      <name val="Roboto"/>
    </font>
    <font>
      <i/>
      <color rgb="FFC5CAE9"/>
      <name val="Roboto Condensed"/>
    </font>
    <font>
      <i/>
      <color rgb="FFC5CAE9"/>
      <name val="Roboto"/>
    </font>
    <font>
      <sz val="10.0"/>
      <name val="Roboto"/>
    </font>
    <font>
      <b/>
      <sz val="10.0"/>
      <color rgb="FF303F9F"/>
      <name val="Roboto"/>
    </font>
    <font>
      <b/>
      <color rgb="FF303F9F"/>
      <name val="Roboto"/>
    </font>
    <font>
      <b/>
      <sz val="9.0"/>
      <color rgb="FF303F9F"/>
      <name val="Roboto"/>
    </font>
    <font>
      <i/>
      <sz val="10.0"/>
      <color rgb="FF6772AD"/>
      <name val="Roboto"/>
    </font>
    <font>
      <sz val="10.0"/>
      <color rgb="FF6772AD"/>
      <name val="Roboto"/>
    </font>
    <font>
      <b/>
      <sz val="10.0"/>
      <name val="Roboto"/>
    </font>
    <font>
      <sz val="10.0"/>
      <color rgb="FF666666"/>
      <name val="Roboto"/>
    </font>
    <font>
      <sz val="10.0"/>
      <color rgb="FF666666"/>
      <name val="Arial"/>
    </font>
    <font>
      <i/>
      <color rgb="FF434343"/>
      <name val="Roboto"/>
    </font>
    <font>
      <b/>
      <sz val="9.0"/>
      <color rgb="FF434343"/>
      <name val="Roboto"/>
    </font>
    <font>
      <name val="Roboto"/>
    </font>
    <font>
      <sz val="10.0"/>
      <color rgb="FF434343"/>
      <name val="Roboto"/>
    </font>
    <font/>
    <font>
      <color rgb="FF434343"/>
    </font>
    <font>
      <b/>
      <sz val="15.0"/>
      <color rgb="FF303F9F"/>
      <name val="Roboto"/>
    </font>
    <font>
      <sz val="11.0"/>
      <name val="Calibri"/>
    </font>
    <font>
      <name val="Arial"/>
    </font>
    <font>
      <sz val="12.0"/>
      <color rgb="FFC5CAE9"/>
      <name val="Roboto"/>
    </font>
    <font>
      <sz val="12.0"/>
      <color rgb="FFC5CAE9"/>
      <name val="Roboto Condensed"/>
    </font>
    <font>
      <sz val="18.0"/>
      <color rgb="FFFFFFFF"/>
      <name val="Roboto"/>
    </font>
    <font>
      <sz val="20.0"/>
      <color rgb="FFFFFFFF"/>
      <name val="Roboto"/>
    </font>
    <font>
      <color rgb="FF303F9F"/>
      <name val="Roboto"/>
    </font>
    <font>
      <i/>
      <color rgb="FF303F9F"/>
      <name val="Roboto Condensed"/>
    </font>
    <font>
      <i/>
      <sz val="10.0"/>
      <color rgb="FF303F9F"/>
      <name val="Roboto Condensed"/>
    </font>
    <font>
      <color rgb="FF666666"/>
      <name val="Roboto"/>
    </font>
    <font>
      <b/>
      <sz val="10.0"/>
      <color rgb="FF434343"/>
      <name val="Roboto"/>
    </font>
    <font>
      <sz val="11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2A3990"/>
        <bgColor rgb="FF2A399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8EAF6"/>
        <bgColor rgb="FFE8EAF6"/>
      </patternFill>
    </fill>
  </fills>
  <borders count="13">
    <border/>
    <border>
      <top style="thin">
        <color rgb="FF303F9F"/>
      </top>
      <bottom style="thin">
        <color rgb="FFFFFFFF"/>
      </bottom>
    </border>
    <border>
      <left style="thin">
        <color rgb="FFE8EAF6"/>
      </left>
      <right style="thin">
        <color rgb="FFE8EAF6"/>
      </right>
      <top style="thin">
        <color rgb="FF303F9F"/>
      </top>
    </border>
    <border>
      <left style="thin">
        <color rgb="FFE8EAF6"/>
      </left>
      <top style="thin">
        <color rgb="FF303F9F"/>
      </top>
    </border>
    <border>
      <bottom style="thin">
        <color rgb="FFC5CAE9"/>
      </bottom>
    </border>
    <border>
      <right style="thin">
        <color rgb="FFFFFFFF"/>
      </right>
      <top style="thin">
        <color rgb="FFFFFFFF"/>
      </top>
      <bottom style="thin">
        <color rgb="FFC5CAE9"/>
      </bottom>
    </border>
    <border>
      <left style="thin">
        <color rgb="FFE8EAF6"/>
      </left>
      <right style="thin">
        <color rgb="FFE8EAF6"/>
      </right>
      <bottom style="thin">
        <color rgb="FFC5CAE9"/>
      </bottom>
    </border>
    <border>
      <left style="thin">
        <color rgb="FFE8EAF6"/>
      </left>
      <bottom style="thin">
        <color rgb="FFC5CAE9"/>
      </bottom>
    </border>
    <border>
      <right style="thin">
        <color rgb="FFC5CAE9"/>
      </right>
    </border>
    <border>
      <left style="thin">
        <color rgb="FFC5CAE9"/>
      </left>
    </border>
    <border>
      <left style="thin">
        <color rgb="FFC5CAE9"/>
      </left>
      <right style="thin">
        <color rgb="FFC5CAE9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303F9F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2" fontId="5" numFmtId="0" xfId="0" applyAlignment="1" applyFont="1">
      <alignment horizontal="left" vertical="center"/>
    </xf>
    <xf borderId="0" fillId="2" fontId="6" numFmtId="0" xfId="0" applyAlignment="1" applyFont="1">
      <alignment horizontal="left" vertical="center"/>
    </xf>
    <xf borderId="0" fillId="0" fontId="7" numFmtId="164" xfId="0" applyAlignment="1" applyFont="1" applyNumberFormat="1">
      <alignment horizontal="left" readingOrder="0" vertical="bottom"/>
    </xf>
    <xf borderId="0" fillId="0" fontId="8" numFmtId="0" xfId="0" applyAlignment="1" applyFont="1">
      <alignment horizontal="left" readingOrder="0" shrinkToFit="0" vertical="bottom" wrapText="0"/>
    </xf>
    <xf borderId="1" fillId="0" fontId="9" numFmtId="165" xfId="0" applyAlignment="1" applyBorder="1" applyFont="1" applyNumberFormat="1">
      <alignment horizontal="center" readingOrder="0" vertical="bottom"/>
    </xf>
    <xf borderId="1" fillId="0" fontId="9" numFmtId="165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horizontal="center" readingOrder="0" shrinkToFit="0" vertical="bottom" wrapText="1"/>
    </xf>
    <xf borderId="3" fillId="0" fontId="1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horizontal="left" readingOrder="0" vertical="top"/>
    </xf>
    <xf borderId="4" fillId="0" fontId="11" numFmtId="0" xfId="0" applyAlignment="1" applyBorder="1" applyFont="1">
      <alignment horizontal="left" readingOrder="0" shrinkToFit="0" vertical="top" wrapText="1"/>
    </xf>
    <xf borderId="5" fillId="0" fontId="12" numFmtId="166" xfId="0" applyAlignment="1" applyBorder="1" applyFont="1" applyNumberFormat="1">
      <alignment horizontal="center" readingOrder="0" vertical="top"/>
    </xf>
    <xf borderId="6" fillId="0" fontId="11" numFmtId="0" xfId="0" applyAlignment="1" applyBorder="1" applyFont="1">
      <alignment horizontal="center" readingOrder="0" shrinkToFit="0" vertical="top" wrapText="1"/>
    </xf>
    <xf borderId="7" fillId="0" fontId="11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8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8" fillId="0" fontId="7" numFmtId="0" xfId="0" applyAlignment="1" applyBorder="1" applyFont="1">
      <alignment vertical="center"/>
    </xf>
    <xf borderId="0" fillId="0" fontId="14" numFmtId="0" xfId="0" applyAlignment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center" readingOrder="0" shrinkToFit="0" vertical="top" wrapText="1"/>
    </xf>
    <xf borderId="0" fillId="3" fontId="7" numFmtId="0" xfId="0" applyAlignment="1" applyFill="1" applyFont="1">
      <alignment readingOrder="0" vertical="center"/>
    </xf>
    <xf borderId="8" fillId="3" fontId="7" numFmtId="0" xfId="0" applyAlignment="1" applyBorder="1" applyFont="1">
      <alignment readingOrder="0" vertical="center"/>
    </xf>
    <xf borderId="0" fillId="3" fontId="13" numFmtId="0" xfId="0" applyAlignment="1" applyFont="1">
      <alignment readingOrder="0" vertical="center"/>
    </xf>
    <xf borderId="0" fillId="3" fontId="14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9" fillId="3" fontId="7" numFmtId="0" xfId="0" applyAlignment="1" applyBorder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4" fontId="7" numFmtId="0" xfId="0" applyAlignment="1" applyFill="1" applyFont="1">
      <alignment readingOrder="0" vertical="center"/>
    </xf>
    <xf borderId="8" fillId="4" fontId="7" numFmtId="0" xfId="0" applyAlignment="1" applyBorder="1" applyFont="1">
      <alignment readingOrder="0" vertical="center"/>
    </xf>
    <xf borderId="0" fillId="4" fontId="13" numFmtId="0" xfId="0" applyAlignment="1" applyFont="1">
      <alignment readingOrder="0" vertical="center"/>
    </xf>
    <xf borderId="0" fillId="4" fontId="14" numFmtId="0" xfId="0" applyAlignment="1" applyFont="1">
      <alignment horizontal="center" readingOrder="0" vertical="center"/>
    </xf>
    <xf borderId="0" fillId="4" fontId="15" numFmtId="0" xfId="0" applyAlignment="1" applyFont="1">
      <alignment horizontal="center" readingOrder="0" vertical="center"/>
    </xf>
    <xf borderId="9" fillId="4" fontId="7" numFmtId="0" xfId="0" applyAlignment="1" applyBorder="1" applyFont="1">
      <alignment horizontal="center" vertical="center"/>
    </xf>
    <xf borderId="0" fillId="4" fontId="7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8" fillId="4" fontId="13" numFmtId="0" xfId="0" applyAlignment="1" applyBorder="1" applyFont="1">
      <alignment readingOrder="0" vertical="center"/>
    </xf>
    <xf borderId="8" fillId="3" fontId="13" numFmtId="0" xfId="0" applyAlignment="1" applyBorder="1" applyFont="1">
      <alignment readingOrder="0" vertical="center"/>
    </xf>
    <xf borderId="0" fillId="3" fontId="7" numFmtId="0" xfId="0" applyAlignment="1" applyFont="1">
      <alignment horizontal="center" readingOrder="0" vertical="center"/>
    </xf>
    <xf borderId="0" fillId="4" fontId="7" numFmtId="0" xfId="0" applyAlignment="1" applyFont="1">
      <alignment vertical="center"/>
    </xf>
    <xf borderId="8" fillId="4" fontId="7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8" fillId="3" fontId="7" numFmtId="0" xfId="0" applyAlignment="1" applyBorder="1" applyFont="1">
      <alignment vertical="center"/>
    </xf>
    <xf borderId="10" fillId="4" fontId="7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left" vertical="center"/>
    </xf>
    <xf borderId="11" fillId="2" fontId="16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 readingOrder="0" shrinkToFit="0" vertical="bottom" wrapText="1"/>
    </xf>
    <xf borderId="11" fillId="0" fontId="17" numFmtId="0" xfId="0" applyAlignment="1" applyBorder="1" applyFont="1">
      <alignment horizontal="center" readingOrder="0" shrinkToFit="0" vertical="bottom" wrapText="1"/>
    </xf>
    <xf borderId="11" fillId="0" fontId="11" numFmtId="0" xfId="0" applyAlignment="1" applyBorder="1" applyFont="1">
      <alignment horizontal="center" readingOrder="0" shrinkToFit="0" vertical="top" wrapText="1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11" fillId="0" fontId="7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1" fillId="0" fontId="19" numFmtId="167" xfId="0" applyAlignment="1" applyBorder="1" applyFont="1" applyNumberFormat="1">
      <alignment horizontal="center" readingOrder="0" vertical="center"/>
    </xf>
    <xf borderId="11" fillId="0" fontId="7" numFmtId="167" xfId="0" applyAlignment="1" applyBorder="1" applyFont="1" applyNumberForma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11" fillId="0" fontId="19" numFmtId="0" xfId="0" applyAlignment="1" applyBorder="1" applyFont="1">
      <alignment horizontal="center" vertical="center"/>
    </xf>
    <xf borderId="11" fillId="0" fontId="20" numFmtId="0" xfId="0" applyBorder="1" applyFont="1"/>
    <xf borderId="11" fillId="0" fontId="21" numFmtId="0" xfId="0" applyBorder="1" applyFont="1"/>
    <xf borderId="2" fillId="0" fontId="22" numFmtId="0" xfId="0" applyAlignment="1" applyBorder="1" applyFont="1">
      <alignment horizontal="center" readingOrder="0" shrinkToFit="0" vertical="bottom" wrapText="1"/>
    </xf>
    <xf borderId="3" fillId="0" fontId="22" numFmtId="0" xfId="0" applyAlignment="1" applyBorder="1" applyFont="1">
      <alignment horizontal="center" readingOrder="0" shrinkToFit="0" vertical="bottom" wrapText="1"/>
    </xf>
    <xf borderId="11" fillId="0" fontId="22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readingOrder="0"/>
    </xf>
    <xf borderId="0" fillId="0" fontId="18" numFmtId="0" xfId="0" applyAlignment="1" applyFont="1">
      <alignment horizontal="center" vertical="bottom"/>
    </xf>
    <xf borderId="0" fillId="0" fontId="20" numFmtId="168" xfId="0" applyFont="1" applyNumberFormat="1"/>
    <xf borderId="11" fillId="0" fontId="7" numFmtId="169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11" fillId="0" fontId="19" numFmtId="170" xfId="0" applyAlignment="1" applyBorder="1" applyFont="1" applyNumberFormat="1">
      <alignment horizontal="center" readingOrder="0" vertical="center"/>
    </xf>
    <xf borderId="11" fillId="0" fontId="7" numFmtId="170" xfId="0" applyAlignment="1" applyBorder="1" applyFont="1" applyNumberFormat="1">
      <alignment horizontal="center" readingOrder="0" vertical="center"/>
    </xf>
    <xf borderId="8" fillId="0" fontId="7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9" fillId="0" fontId="7" numFmtId="0" xfId="0" applyAlignment="1" applyBorder="1" applyFont="1">
      <alignment horizontal="center" vertical="bottom"/>
    </xf>
    <xf borderId="11" fillId="0" fontId="7" numFmtId="0" xfId="0" applyAlignment="1" applyBorder="1" applyFont="1">
      <alignment horizontal="center" vertical="bottom"/>
    </xf>
    <xf borderId="11" fillId="0" fontId="19" numFmtId="0" xfId="0" applyAlignment="1" applyBorder="1" applyFont="1">
      <alignment horizontal="center" readingOrder="0" vertical="bottom"/>
    </xf>
    <xf borderId="0" fillId="0" fontId="20" numFmtId="0" xfId="0" applyAlignment="1" applyFont="1">
      <alignment vertical="bottom"/>
    </xf>
    <xf borderId="11" fillId="0" fontId="19" numFmtId="0" xfId="0" applyAlignment="1" applyBorder="1" applyFont="1">
      <alignment horizontal="center" vertical="bottom"/>
    </xf>
    <xf borderId="8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11" fillId="0" fontId="23" numFmtId="0" xfId="0" applyAlignment="1" applyBorder="1" applyFont="1">
      <alignment vertical="bottom"/>
    </xf>
    <xf borderId="0" fillId="0" fontId="24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/>
    </xf>
    <xf borderId="0" fillId="2" fontId="25" numFmtId="0" xfId="0" applyFont="1"/>
    <xf borderId="0" fillId="2" fontId="26" numFmtId="0" xfId="0" applyAlignment="1" applyFont="1">
      <alignment horizontal="left" readingOrder="0"/>
    </xf>
    <xf borderId="12" fillId="2" fontId="27" numFmtId="0" xfId="0" applyAlignment="1" applyBorder="1" applyFont="1">
      <alignment vertical="top"/>
    </xf>
    <xf borderId="12" fillId="2" fontId="28" numFmtId="0" xfId="0" applyAlignment="1" applyBorder="1" applyFont="1">
      <alignment horizontal="left" readingOrder="0" vertical="top"/>
    </xf>
    <xf borderId="12" fillId="0" fontId="20" numFmtId="0" xfId="0" applyBorder="1" applyFont="1"/>
    <xf borderId="0" fillId="5" fontId="29" numFmtId="0" xfId="0" applyAlignment="1" applyFill="1" applyFont="1">
      <alignment shrinkToFit="0" vertical="bottom" wrapText="0"/>
    </xf>
    <xf borderId="0" fillId="5" fontId="30" numFmtId="0" xfId="0" applyAlignment="1" applyFont="1">
      <alignment horizontal="left" readingOrder="0" shrinkToFit="0" vertical="bottom" wrapText="0"/>
    </xf>
    <xf borderId="0" fillId="5" fontId="29" numFmtId="0" xfId="0" applyAlignment="1" applyFont="1">
      <alignment shrinkToFit="0" vertical="top" wrapText="0"/>
    </xf>
    <xf borderId="0" fillId="5" fontId="31" numFmtId="0" xfId="0" applyAlignment="1" applyFont="1">
      <alignment horizontal="left" readingOrder="0" shrinkToFit="0" vertical="top" wrapText="0"/>
    </xf>
    <xf borderId="0" fillId="0" fontId="19" numFmtId="0" xfId="0" applyFont="1"/>
    <xf borderId="0" fillId="0" fontId="19" numFmtId="0" xfId="0" applyAlignment="1" applyFont="1">
      <alignment horizontal="left"/>
    </xf>
    <xf borderId="0" fillId="0" fontId="8" numFmtId="0" xfId="0" applyAlignment="1" applyFont="1">
      <alignment horizontal="left" readingOrder="0"/>
    </xf>
    <xf borderId="0" fillId="0" fontId="19" numFmtId="0" xfId="0" applyAlignment="1" applyFont="1">
      <alignment vertical="bottom"/>
    </xf>
    <xf borderId="0" fillId="3" fontId="32" numFmtId="0" xfId="0" applyAlignment="1" applyFont="1">
      <alignment horizontal="center" readingOrder="0"/>
    </xf>
    <xf borderId="0" fillId="0" fontId="19" numFmtId="0" xfId="0" applyAlignment="1" applyFont="1">
      <alignment readingOrder="0" vertical="bottom"/>
    </xf>
    <xf borderId="0" fillId="0" fontId="33" numFmtId="0" xfId="0" applyAlignment="1" applyFont="1">
      <alignment horizontal="left" readingOrder="0" vertical="bottom"/>
    </xf>
    <xf borderId="0" fillId="4" fontId="34" numFmtId="0" xfId="0" applyAlignment="1" applyFont="1">
      <alignment readingOrder="0"/>
    </xf>
    <xf borderId="0" fillId="0" fontId="33" numFmtId="0" xfId="0" applyAlignment="1" applyFont="1">
      <alignment horizontal="left" vertical="bottom"/>
    </xf>
    <xf borderId="0" fillId="0" fontId="33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7">
    <tableStyle count="2" pivot="0" name="November-24-style">
      <tableStyleElement dxfId="1" type="firstRowStripe"/>
      <tableStyleElement dxfId="2" type="secondRowStripe"/>
    </tableStyle>
    <tableStyle count="2" pivot="0" name="Dec-24-style">
      <tableStyleElement dxfId="1" type="firstRowStripe"/>
      <tableStyleElement dxfId="2" type="secondRowStripe"/>
    </tableStyle>
    <tableStyle count="2" pivot="0" name="Feb-2025-style">
      <tableStyleElement dxfId="1" type="firstRowStripe"/>
      <tableStyleElement dxfId="2" type="secondRowStripe"/>
    </tableStyle>
    <tableStyle count="2" pivot="0" name="Mar-2025-style">
      <tableStyleElement dxfId="1" type="firstRowStripe"/>
      <tableStyleElement dxfId="2" type="secondRowStripe"/>
    </tableStyle>
    <tableStyle count="2" pivot="0" name="Apr-2025-style">
      <tableStyleElement dxfId="1" type="firstRowStripe"/>
      <tableStyleElement dxfId="2" type="secondRowStripe"/>
    </tableStyle>
    <tableStyle count="2" pivot="0" name="May-2025-style">
      <tableStyleElement dxfId="1" type="firstRowStripe"/>
      <tableStyleElement dxfId="2" type="secondRowStripe"/>
    </tableStyle>
    <tableStyle count="2" pivot="0" name="Jun-2025-style">
      <tableStyleElement dxfId="1" type="firstRowStripe"/>
      <tableStyleElement dxfId="2" type="secondRowStripe"/>
    </tableStyle>
    <tableStyle count="2" pivot="0" name="July-2025-style">
      <tableStyleElement dxfId="1" type="firstRowStripe"/>
      <tableStyleElement dxfId="2" type="secondRowStripe"/>
    </tableStyle>
    <tableStyle count="2" pivot="0" name="Aug-2025-style">
      <tableStyleElement dxfId="1" type="firstRowStripe"/>
      <tableStyleElement dxfId="2" type="secondRowStripe"/>
    </tableStyle>
    <tableStyle count="2" pivot="0" name="Sept-2025-style">
      <tableStyleElement dxfId="1" type="firstRowStripe"/>
      <tableStyleElement dxfId="2" type="secondRowStripe"/>
    </tableStyle>
    <tableStyle count="2" pivot="0" name="Oct-2025-style">
      <tableStyleElement dxfId="1" type="firstRowStripe"/>
      <tableStyleElement dxfId="2" type="secondRowStripe"/>
    </tableStyle>
    <tableStyle count="2" pivot="0" name="Nov-2025-style">
      <tableStyleElement dxfId="1" type="firstRowStripe"/>
      <tableStyleElement dxfId="2" type="secondRowStripe"/>
    </tableStyle>
    <tableStyle count="2" pivot="0" name="Dec-2025-style">
      <tableStyleElement dxfId="1" type="firstRowStripe"/>
      <tableStyleElement dxfId="2" type="secondRowStripe"/>
    </tableStyle>
    <tableStyle count="2" pivot="0" name="Jan-2026-style">
      <tableStyleElement dxfId="1" type="firstRowStripe"/>
      <tableStyleElement dxfId="2" type="secondRowStripe"/>
    </tableStyle>
    <tableStyle count="2" pivot="0" name="Feb-2026-style">
      <tableStyleElement dxfId="1" type="firstRowStripe"/>
      <tableStyleElement dxfId="2" type="secondRowStripe"/>
    </tableStyle>
    <tableStyle count="2" pivot="0" name="Mar-2026-style">
      <tableStyleElement dxfId="1" type="firstRowStripe"/>
      <tableStyleElement dxfId="2" type="secondRowStripe"/>
    </tableStyle>
    <tableStyle count="2" pivot="0" name="Apr-20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M39" displayName="Table_1" name="Table_1" id="1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November-24-style" showColumnStripes="0" showFirstColumn="1" showLastColumn="1" showRowStripes="1"/>
</table>
</file>

<file path=xl/tables/table2.xml><?xml version="1.0" encoding="utf-8"?>
<table xmlns="http://schemas.openxmlformats.org/spreadsheetml/2006/main" headerRowCount="0" ref="A4:AM39" displayName="Table_2" name="Table_2" id="2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Dec-24-style" showColumnStripes="0" showFirstColumn="1" showLastColumn="1" showRowStripes="1"/>
</table>
</file>

<file path=xl/tables/table3.xml><?xml version="1.0" encoding="utf-8"?>
<table xmlns="http://schemas.openxmlformats.org/spreadsheetml/2006/main" headerRowCount="0" ref="A4:AP35" displayName="Table_3" name="Table_3" id="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Feb-2025-style" showColumnStripes="0" showFirstColumn="1" showLastColumn="1" showRowStripes="1"/>
</table>
</file>

<file path=xl/tables/table4.xml><?xml version="1.0" encoding="utf-8"?>
<table xmlns="http://schemas.openxmlformats.org/spreadsheetml/2006/main" headerRowCount="0" ref="A4:AP35" displayName="Table_4" name="Table_4" id="4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Mar-2025-style" showColumnStripes="0" showFirstColumn="1" showLastColumn="1" showRowStripes="1"/>
</table>
</file>

<file path=xl/tables/table5.xml><?xml version="1.0" encoding="utf-8"?>
<table xmlns="http://schemas.openxmlformats.org/spreadsheetml/2006/main" headerRowCount="0" ref="A4:AO31" displayName="Table_5" name="Table_5" id="5">
  <tableColumns count="4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</tableColumns>
  <tableStyleInfo name="Apr-2025-style" showColumnStripes="0" showFirstColumn="1" showLastColumn="1" showRowStripes="1"/>
</table>
</file>

<file path=xl/tables/table6.xml><?xml version="1.0" encoding="utf-8"?>
<table xmlns="http://schemas.openxmlformats.org/spreadsheetml/2006/main" headerRowCount="0" ref="A4:AP30" displayName="Table_6" name="Table_6" id="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May-2025-style" showColumnStripes="0" showFirstColumn="1" showLastColumn="1" showRowStripes="1"/>
</table>
</file>

<file path=xl/tables/table7.xml><?xml version="1.0" encoding="utf-8"?>
<table xmlns="http://schemas.openxmlformats.org/spreadsheetml/2006/main" headerRowCount="0" ref="A4:AP30" displayName="Table_7" name="Table_7" id="7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Jun-2025-style" showColumnStripes="0" showFirstColumn="1" showLastColumn="1" showRowStripes="1"/>
</table>
</file>

<file path=xl/tables/table8.xml><?xml version="1.0" encoding="utf-8"?>
<table xmlns="http://schemas.openxmlformats.org/spreadsheetml/2006/main" headerRowCount="0" ref="A4:AP27" displayName="Table_8" name="Table_8" id="8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July-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A4:AP23" displayName="Table_9" name="Table_9" id="9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Aug-2025-style" showColumnStripes="0" showFirstColumn="1" showLastColumn="1" showRowStripes="1"/>
</table>
</file>

<file path=xl/tables/table10.xml><?xml version="1.0" encoding="utf-8"?>
<table xmlns="http://schemas.openxmlformats.org/spreadsheetml/2006/main" headerRowCount="0" ref="A4:AP12" displayName="Table_10" name="Table_10" id="10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ept-2025-style" showColumnStripes="0" showFirstColumn="1" showLastColumn="1" showRowStripes="1"/>
</table>
</file>

<file path=xl/tables/table11.xml><?xml version="1.0" encoding="utf-8"?>
<table xmlns="http://schemas.openxmlformats.org/spreadsheetml/2006/main" headerRowCount="0" ref="A4:AP11" displayName="Table_11" name="Table_11" id="11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Oct-2025-style" showColumnStripes="0" showFirstColumn="1" showLastColumn="1" showRowStripes="1"/>
</table>
</file>

<file path=xl/tables/table12.xml><?xml version="1.0" encoding="utf-8"?>
<table xmlns="http://schemas.openxmlformats.org/spreadsheetml/2006/main" headerRowCount="0" ref="A4:AP11" displayName="Table_12" name="Table_12" id="1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Nov-2025-style" showColumnStripes="0" showFirstColumn="1" showLastColumn="1" showRowStripes="1"/>
</table>
</file>

<file path=xl/tables/table13.xml><?xml version="1.0" encoding="utf-8"?>
<table xmlns="http://schemas.openxmlformats.org/spreadsheetml/2006/main" headerRowCount="0" ref="A4:AP11" displayName="Table_13" name="Table_13" id="13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Dec-2025-style" showColumnStripes="0" showFirstColumn="1" showLastColumn="1" showRowStripes="1"/>
</table>
</file>

<file path=xl/tables/table14.xml><?xml version="1.0" encoding="utf-8"?>
<table xmlns="http://schemas.openxmlformats.org/spreadsheetml/2006/main" headerRowCount="0" ref="A4:AP10" displayName="Table_14" name="Table_14" id="14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Jan-2026-style" showColumnStripes="0" showFirstColumn="1" showLastColumn="1" showRowStripes="1"/>
</table>
</file>

<file path=xl/tables/table15.xml><?xml version="1.0" encoding="utf-8"?>
<table xmlns="http://schemas.openxmlformats.org/spreadsheetml/2006/main" headerRowCount="0" ref="A4:AP9" displayName="Table_15" name="Table_15" id="1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Feb-2026-style" showColumnStripes="0" showFirstColumn="1" showLastColumn="1" showRowStripes="1"/>
</table>
</file>

<file path=xl/tables/table16.xml><?xml version="1.0" encoding="utf-8"?>
<table xmlns="http://schemas.openxmlformats.org/spreadsheetml/2006/main" headerRowCount="0" ref="A4:AP9" displayName="Table_16" name="Table_16" id="1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Mar-2026-style" showColumnStripes="0" showFirstColumn="1" showLastColumn="1" showRowStripes="1"/>
</table>
</file>

<file path=xl/tables/table17.xml><?xml version="1.0" encoding="utf-8"?>
<table xmlns="http://schemas.openxmlformats.org/spreadsheetml/2006/main" headerRowCount="0" ref="A4:AP9" displayName="Table_17" name="Table_17" id="17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Apr-2026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  <c r="H1" s="1" t="s">
        <v>1</v>
      </c>
    </row>
    <row r="2">
      <c r="A2" s="2">
        <v>1.0</v>
      </c>
      <c r="B2" s="2">
        <v>0.0</v>
      </c>
      <c r="C2" s="2">
        <v>1.0</v>
      </c>
      <c r="D2" s="2">
        <v>0.0</v>
      </c>
      <c r="E2" s="2">
        <v>1.0</v>
      </c>
      <c r="F2" s="2">
        <v>0.0</v>
      </c>
      <c r="G2" s="2">
        <v>1.0</v>
      </c>
      <c r="H2" s="2">
        <v>0.0</v>
      </c>
    </row>
    <row r="3">
      <c r="A3" s="2">
        <v>2.0</v>
      </c>
      <c r="B3" s="2">
        <v>0.0</v>
      </c>
      <c r="C3" s="2">
        <v>2.0</v>
      </c>
      <c r="D3" s="2">
        <v>0.0</v>
      </c>
      <c r="E3" s="2">
        <v>2.0</v>
      </c>
      <c r="F3" s="2">
        <v>0.0</v>
      </c>
      <c r="G3" s="2">
        <v>2.0</v>
      </c>
      <c r="H3" s="2">
        <v>0.0</v>
      </c>
    </row>
    <row r="4">
      <c r="A4" s="2">
        <v>3.0</v>
      </c>
      <c r="B4" s="2">
        <v>0.0</v>
      </c>
      <c r="C4" s="2">
        <v>3.0</v>
      </c>
      <c r="D4" s="2">
        <v>0.0</v>
      </c>
      <c r="E4" s="2">
        <v>3.0</v>
      </c>
      <c r="F4" s="2">
        <v>0.0</v>
      </c>
      <c r="G4" s="2">
        <v>3.0</v>
      </c>
      <c r="H4" s="2">
        <v>0.0</v>
      </c>
    </row>
    <row r="5">
      <c r="A5" s="2">
        <v>4.0</v>
      </c>
      <c r="B5" s="2">
        <v>0.0</v>
      </c>
      <c r="C5" s="2">
        <v>4.0</v>
      </c>
      <c r="D5" s="2">
        <v>0.0</v>
      </c>
      <c r="E5" s="2">
        <v>4.0</v>
      </c>
      <c r="F5" s="2">
        <v>0.0</v>
      </c>
      <c r="G5" s="2">
        <v>4.0</v>
      </c>
      <c r="H5" s="2">
        <v>0.0</v>
      </c>
    </row>
    <row r="6">
      <c r="A6" s="2">
        <v>5.0</v>
      </c>
      <c r="B6" s="2">
        <v>0.0</v>
      </c>
      <c r="C6" s="2">
        <v>5.0</v>
      </c>
      <c r="D6" s="2">
        <v>0.0</v>
      </c>
      <c r="E6" s="2">
        <v>5.0</v>
      </c>
      <c r="F6" s="2">
        <v>0.0</v>
      </c>
      <c r="G6" s="2">
        <v>5.0</v>
      </c>
      <c r="H6" s="2">
        <v>0.0</v>
      </c>
    </row>
    <row r="7">
      <c r="A7" s="2">
        <v>6.0</v>
      </c>
      <c r="B7" s="2">
        <v>0.0</v>
      </c>
      <c r="C7" s="2">
        <v>6.0</v>
      </c>
      <c r="D7" s="2">
        <v>0.0</v>
      </c>
      <c r="E7" s="2">
        <v>6.0</v>
      </c>
      <c r="F7" s="2">
        <v>0.0</v>
      </c>
      <c r="G7" s="2">
        <v>6.0</v>
      </c>
      <c r="H7" s="2">
        <v>0.0</v>
      </c>
    </row>
    <row r="8">
      <c r="A8" s="2">
        <v>7.0</v>
      </c>
      <c r="B8" s="2">
        <v>0.0</v>
      </c>
      <c r="C8" s="2">
        <v>7.0</v>
      </c>
      <c r="D8" s="2">
        <v>0.0</v>
      </c>
      <c r="E8" s="2">
        <v>7.0</v>
      </c>
      <c r="F8" s="2">
        <v>0.0</v>
      </c>
      <c r="G8" s="2">
        <v>7.0</v>
      </c>
      <c r="H8" s="2">
        <v>0.0</v>
      </c>
    </row>
    <row r="9">
      <c r="A9" s="2">
        <v>8.0</v>
      </c>
      <c r="B9" s="2">
        <v>0.0</v>
      </c>
      <c r="C9" s="2">
        <v>8.0</v>
      </c>
      <c r="D9" s="2">
        <v>0.0</v>
      </c>
      <c r="E9" s="2">
        <v>8.0</v>
      </c>
      <c r="F9" s="2">
        <v>0.0</v>
      </c>
      <c r="G9" s="2">
        <v>8.0</v>
      </c>
      <c r="H9" s="2">
        <v>0.0</v>
      </c>
    </row>
    <row r="10">
      <c r="A10" s="2">
        <v>9.0</v>
      </c>
      <c r="B10" s="2">
        <v>0.0</v>
      </c>
      <c r="C10" s="2">
        <v>9.0</v>
      </c>
      <c r="D10" s="2">
        <v>0.0</v>
      </c>
      <c r="E10" s="2">
        <v>9.0</v>
      </c>
      <c r="F10" s="2">
        <v>0.0</v>
      </c>
      <c r="G10" s="2">
        <v>9.0</v>
      </c>
      <c r="H10" s="2">
        <v>0.0</v>
      </c>
    </row>
    <row r="11">
      <c r="A11" s="2">
        <v>10.0</v>
      </c>
      <c r="B11" s="2">
        <v>0.0</v>
      </c>
      <c r="C11" s="2">
        <v>10.0</v>
      </c>
      <c r="D11" s="2">
        <v>0.0</v>
      </c>
      <c r="E11" s="2">
        <v>10.0</v>
      </c>
      <c r="F11" s="2">
        <v>0.0</v>
      </c>
      <c r="G11" s="2">
        <v>10.0</v>
      </c>
      <c r="H11" s="2">
        <v>0.0</v>
      </c>
    </row>
    <row r="12">
      <c r="A12" s="2">
        <v>11.0</v>
      </c>
      <c r="B12" s="2">
        <v>0.0</v>
      </c>
      <c r="C12" s="2">
        <v>11.0</v>
      </c>
      <c r="D12" s="2">
        <v>0.0</v>
      </c>
      <c r="E12" s="2">
        <v>11.0</v>
      </c>
      <c r="F12" s="2">
        <v>0.0</v>
      </c>
      <c r="G12" s="2">
        <v>11.0</v>
      </c>
      <c r="H12" s="2">
        <v>0.0</v>
      </c>
    </row>
    <row r="13">
      <c r="A13" s="2">
        <v>12.0</v>
      </c>
      <c r="B13" s="2">
        <v>0.0</v>
      </c>
      <c r="C13" s="2">
        <v>12.0</v>
      </c>
      <c r="D13" s="2">
        <v>0.0</v>
      </c>
      <c r="E13" s="2">
        <v>12.0</v>
      </c>
      <c r="F13" s="2">
        <v>0.0</v>
      </c>
      <c r="G13" s="2">
        <v>12.0</v>
      </c>
      <c r="H13" s="2">
        <v>0.0</v>
      </c>
    </row>
    <row r="14">
      <c r="A14" s="2">
        <v>13.0</v>
      </c>
      <c r="B14" s="2">
        <v>0.0</v>
      </c>
      <c r="C14" s="2">
        <v>13.0</v>
      </c>
      <c r="D14" s="2">
        <v>0.0</v>
      </c>
      <c r="E14" s="2">
        <v>13.0</v>
      </c>
      <c r="F14" s="2">
        <v>0.0</v>
      </c>
      <c r="G14" s="2">
        <v>13.0</v>
      </c>
      <c r="H14" s="2">
        <v>0.0</v>
      </c>
    </row>
    <row r="15">
      <c r="A15" s="2">
        <v>14.0</v>
      </c>
      <c r="B15" s="2">
        <v>1.0</v>
      </c>
      <c r="C15" s="2">
        <v>14.0</v>
      </c>
      <c r="D15" s="2">
        <v>1.0</v>
      </c>
      <c r="E15" s="2">
        <v>14.0</v>
      </c>
      <c r="F15" s="2">
        <v>1.0</v>
      </c>
      <c r="G15" s="2">
        <v>14.0</v>
      </c>
      <c r="H15" s="2">
        <v>1.0</v>
      </c>
    </row>
    <row r="16">
      <c r="A16" s="2">
        <v>15.0</v>
      </c>
      <c r="B16" s="2">
        <v>1.0</v>
      </c>
      <c r="C16" s="2">
        <v>15.0</v>
      </c>
      <c r="D16" s="2">
        <v>1.0</v>
      </c>
      <c r="E16" s="2">
        <v>15.0</v>
      </c>
      <c r="F16" s="2">
        <v>1.0</v>
      </c>
      <c r="G16" s="2">
        <v>15.0</v>
      </c>
      <c r="H16" s="2">
        <v>1.0</v>
      </c>
    </row>
    <row r="17">
      <c r="A17" s="2">
        <v>16.0</v>
      </c>
      <c r="B17" s="2">
        <v>1.0</v>
      </c>
      <c r="C17" s="2">
        <v>16.0</v>
      </c>
      <c r="D17" s="2">
        <v>1.0</v>
      </c>
      <c r="E17" s="2">
        <v>16.0</v>
      </c>
      <c r="F17" s="2">
        <v>1.0</v>
      </c>
      <c r="G17" s="2">
        <v>16.0</v>
      </c>
      <c r="H17" s="2">
        <v>1.0</v>
      </c>
    </row>
    <row r="18">
      <c r="A18" s="2">
        <v>17.0</v>
      </c>
      <c r="B18" s="2">
        <v>1.0</v>
      </c>
      <c r="C18" s="2">
        <v>17.0</v>
      </c>
      <c r="D18" s="2">
        <v>1.0</v>
      </c>
      <c r="E18" s="2">
        <v>17.0</v>
      </c>
      <c r="F18" s="2">
        <v>1.0</v>
      </c>
      <c r="G18" s="2">
        <v>17.0</v>
      </c>
      <c r="H18" s="2">
        <v>1.0</v>
      </c>
    </row>
    <row r="19">
      <c r="A19" s="2">
        <v>18.0</v>
      </c>
      <c r="B19" s="2">
        <v>1.0</v>
      </c>
      <c r="C19" s="2">
        <v>18.0</v>
      </c>
      <c r="D19" s="2">
        <v>1.0</v>
      </c>
      <c r="E19" s="2">
        <v>18.0</v>
      </c>
      <c r="F19" s="2">
        <v>1.0</v>
      </c>
      <c r="G19" s="2">
        <v>18.0</v>
      </c>
      <c r="H19" s="2">
        <v>1.0</v>
      </c>
    </row>
    <row r="20">
      <c r="A20" s="2">
        <v>19.0</v>
      </c>
      <c r="B20" s="2">
        <v>1.0</v>
      </c>
      <c r="C20" s="2">
        <v>19.0</v>
      </c>
      <c r="D20" s="2">
        <v>1.0</v>
      </c>
      <c r="E20" s="2">
        <v>19.0</v>
      </c>
      <c r="F20" s="2">
        <v>1.0</v>
      </c>
      <c r="G20" s="2">
        <v>19.0</v>
      </c>
      <c r="H20" s="2">
        <v>1.0</v>
      </c>
    </row>
    <row r="21">
      <c r="A21" s="2">
        <v>20.0</v>
      </c>
      <c r="B21" s="2">
        <v>1.0</v>
      </c>
      <c r="C21" s="2">
        <v>20.0</v>
      </c>
      <c r="D21" s="2">
        <v>1.0</v>
      </c>
      <c r="E21" s="2">
        <v>20.0</v>
      </c>
      <c r="F21" s="2">
        <v>1.0</v>
      </c>
      <c r="G21" s="2">
        <v>20.0</v>
      </c>
      <c r="H21" s="2">
        <v>1.0</v>
      </c>
    </row>
    <row r="22">
      <c r="A22" s="2">
        <v>21.0</v>
      </c>
      <c r="B22" s="2">
        <v>1.0</v>
      </c>
      <c r="C22" s="2">
        <v>21.0</v>
      </c>
      <c r="D22" s="2">
        <v>1.0</v>
      </c>
      <c r="E22" s="2">
        <v>21.0</v>
      </c>
      <c r="F22" s="2">
        <v>1.0</v>
      </c>
      <c r="G22" s="2">
        <v>21.0</v>
      </c>
      <c r="H22" s="2">
        <v>1.0</v>
      </c>
    </row>
    <row r="23">
      <c r="A23" s="2">
        <v>22.0</v>
      </c>
      <c r="B23" s="2">
        <v>1.0</v>
      </c>
      <c r="C23" s="2">
        <v>22.0</v>
      </c>
      <c r="D23" s="2">
        <v>1.0</v>
      </c>
      <c r="E23" s="2">
        <v>22.0</v>
      </c>
      <c r="F23" s="2">
        <v>1.0</v>
      </c>
      <c r="G23" s="2">
        <v>22.0</v>
      </c>
      <c r="H23" s="2">
        <v>1.0</v>
      </c>
    </row>
    <row r="24">
      <c r="A24" s="2">
        <v>23.0</v>
      </c>
      <c r="B24" s="2">
        <v>1.0</v>
      </c>
      <c r="C24" s="2">
        <v>23.0</v>
      </c>
      <c r="D24" s="2">
        <v>1.0</v>
      </c>
      <c r="E24" s="2">
        <v>23.0</v>
      </c>
      <c r="F24" s="2">
        <v>1.0</v>
      </c>
      <c r="G24" s="2">
        <v>23.0</v>
      </c>
      <c r="H24" s="2">
        <v>1.0</v>
      </c>
    </row>
    <row r="25">
      <c r="A25" s="2">
        <v>24.0</v>
      </c>
      <c r="B25" s="2">
        <v>1.0</v>
      </c>
      <c r="C25" s="2">
        <v>24.0</v>
      </c>
      <c r="D25" s="2">
        <v>1.0</v>
      </c>
      <c r="E25" s="2">
        <v>24.0</v>
      </c>
      <c r="F25" s="2">
        <v>1.0</v>
      </c>
      <c r="G25" s="2">
        <v>24.0</v>
      </c>
      <c r="H25" s="2">
        <v>1.0</v>
      </c>
    </row>
    <row r="26">
      <c r="A26" s="2">
        <v>25.0</v>
      </c>
      <c r="B26" s="2">
        <v>1.0</v>
      </c>
      <c r="C26" s="2">
        <v>25.0</v>
      </c>
      <c r="D26" s="2">
        <v>1.0</v>
      </c>
      <c r="E26" s="2">
        <v>25.0</v>
      </c>
      <c r="F26" s="2">
        <v>1.0</v>
      </c>
      <c r="G26" s="2">
        <v>25.0</v>
      </c>
      <c r="H26" s="2">
        <v>1.0</v>
      </c>
    </row>
    <row r="27">
      <c r="A27" s="2">
        <v>26.0</v>
      </c>
      <c r="B27" s="2">
        <v>1.0</v>
      </c>
      <c r="C27" s="2">
        <v>26.0</v>
      </c>
      <c r="D27" s="2">
        <v>1.0</v>
      </c>
      <c r="E27" s="2">
        <v>26.0</v>
      </c>
      <c r="F27" s="2">
        <v>1.0</v>
      </c>
      <c r="G27" s="2">
        <v>26.0</v>
      </c>
      <c r="H27" s="2">
        <v>2.0</v>
      </c>
    </row>
    <row r="28">
      <c r="A28" s="2">
        <v>27.0</v>
      </c>
      <c r="B28" s="2">
        <v>1.0</v>
      </c>
      <c r="C28" s="2">
        <v>27.0</v>
      </c>
      <c r="D28" s="2">
        <v>1.0</v>
      </c>
      <c r="E28" s="2">
        <v>27.0</v>
      </c>
      <c r="F28" s="2">
        <v>2.0</v>
      </c>
      <c r="G28" s="2">
        <v>27.0</v>
      </c>
      <c r="H28" s="2">
        <v>2.0</v>
      </c>
    </row>
    <row r="29">
      <c r="A29" s="2">
        <v>28.0</v>
      </c>
      <c r="B29" s="2">
        <v>1.0</v>
      </c>
      <c r="C29" s="2">
        <v>28.0</v>
      </c>
      <c r="D29" s="2">
        <v>2.0</v>
      </c>
      <c r="E29" s="2">
        <v>28.0</v>
      </c>
      <c r="F29" s="2">
        <v>2.0</v>
      </c>
      <c r="G29" s="2">
        <v>28.0</v>
      </c>
      <c r="H29" s="2">
        <v>2.0</v>
      </c>
    </row>
    <row r="30">
      <c r="A30" s="2">
        <v>29.0</v>
      </c>
      <c r="B30" s="2">
        <v>2.0</v>
      </c>
      <c r="C30" s="2">
        <v>29.0</v>
      </c>
      <c r="D30" s="2">
        <v>2.0</v>
      </c>
      <c r="E30" s="2">
        <v>29.0</v>
      </c>
      <c r="F30" s="2">
        <v>2.0</v>
      </c>
      <c r="G30" s="3"/>
      <c r="H30" s="3"/>
    </row>
    <row r="31">
      <c r="A31" s="2">
        <v>30.0</v>
      </c>
      <c r="B31" s="2">
        <v>2.0</v>
      </c>
      <c r="C31" s="2">
        <v>30.0</v>
      </c>
      <c r="D31" s="2">
        <v>2.0</v>
      </c>
      <c r="E31" s="3"/>
      <c r="F31" s="3"/>
      <c r="G31" s="3"/>
      <c r="H31" s="3"/>
    </row>
    <row r="32">
      <c r="A32" s="2">
        <v>31.0</v>
      </c>
      <c r="B32" s="2">
        <v>2.0</v>
      </c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1"/>
      <c r="C34" s="1"/>
      <c r="E34" s="1"/>
      <c r="G34" s="1"/>
    </row>
    <row r="36">
      <c r="L36" s="4"/>
    </row>
  </sheetData>
  <mergeCells count="4">
    <mergeCell ref="A34:B34"/>
    <mergeCell ref="C34:D34"/>
    <mergeCell ref="E34:F34"/>
    <mergeCell ref="G34:H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0.75"/>
    <col customWidth="1" min="3" max="3" width="8.25"/>
    <col customWidth="1" min="4" max="4" width="8.13"/>
    <col customWidth="1" min="5" max="5" width="12.88"/>
    <col customWidth="1" min="6" max="36" width="6.13"/>
    <col customWidth="1" min="37" max="39" width="9.38"/>
  </cols>
  <sheetData>
    <row r="1" ht="3.0" customHeight="1">
      <c r="A1" s="5"/>
      <c r="B1" s="5"/>
      <c r="C1" s="5"/>
      <c r="D1" s="6">
        <f>day(EOMONTH(T2,0))</f>
        <v>30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ht="26.25" customHeight="1">
      <c r="A2" s="9"/>
      <c r="B2" s="10" t="s">
        <v>5</v>
      </c>
      <c r="D2" s="10"/>
      <c r="E2" s="11">
        <v>45597.0</v>
      </c>
      <c r="F2" s="12">
        <f t="shared" ref="F2:AI2" si="1">IF(MONTH(E2+1)=MONTH(EOMONTH($E$2,0)),E2+1,"")</f>
        <v>45598</v>
      </c>
      <c r="G2" s="12">
        <f t="shared" si="1"/>
        <v>45599</v>
      </c>
      <c r="H2" s="12">
        <f t="shared" si="1"/>
        <v>45600</v>
      </c>
      <c r="I2" s="12">
        <f t="shared" si="1"/>
        <v>45601</v>
      </c>
      <c r="J2" s="12">
        <f t="shared" si="1"/>
        <v>45602</v>
      </c>
      <c r="K2" s="12">
        <f t="shared" si="1"/>
        <v>45603</v>
      </c>
      <c r="L2" s="12">
        <f t="shared" si="1"/>
        <v>45604</v>
      </c>
      <c r="M2" s="12">
        <f t="shared" si="1"/>
        <v>45605</v>
      </c>
      <c r="N2" s="12">
        <f t="shared" si="1"/>
        <v>45606</v>
      </c>
      <c r="O2" s="12">
        <f t="shared" si="1"/>
        <v>45607</v>
      </c>
      <c r="P2" s="12">
        <f t="shared" si="1"/>
        <v>45608</v>
      </c>
      <c r="Q2" s="12">
        <f t="shared" si="1"/>
        <v>45609</v>
      </c>
      <c r="R2" s="12">
        <f t="shared" si="1"/>
        <v>45610</v>
      </c>
      <c r="S2" s="12">
        <f t="shared" si="1"/>
        <v>45611</v>
      </c>
      <c r="T2" s="12">
        <f t="shared" si="1"/>
        <v>45612</v>
      </c>
      <c r="U2" s="12">
        <f t="shared" si="1"/>
        <v>45613</v>
      </c>
      <c r="V2" s="12">
        <f t="shared" si="1"/>
        <v>45614</v>
      </c>
      <c r="W2" s="12">
        <f t="shared" si="1"/>
        <v>45615</v>
      </c>
      <c r="X2" s="12">
        <f t="shared" si="1"/>
        <v>45616</v>
      </c>
      <c r="Y2" s="12">
        <f t="shared" si="1"/>
        <v>45617</v>
      </c>
      <c r="Z2" s="12">
        <f t="shared" si="1"/>
        <v>45618</v>
      </c>
      <c r="AA2" s="12">
        <f t="shared" si="1"/>
        <v>45619</v>
      </c>
      <c r="AB2" s="12">
        <f t="shared" si="1"/>
        <v>45620</v>
      </c>
      <c r="AC2" s="12">
        <f t="shared" si="1"/>
        <v>45621</v>
      </c>
      <c r="AD2" s="12">
        <f t="shared" si="1"/>
        <v>45622</v>
      </c>
      <c r="AE2" s="12">
        <f t="shared" si="1"/>
        <v>45623</v>
      </c>
      <c r="AF2" s="12">
        <f t="shared" si="1"/>
        <v>45624</v>
      </c>
      <c r="AG2" s="12">
        <f t="shared" si="1"/>
        <v>45625</v>
      </c>
      <c r="AH2" s="12">
        <f t="shared" si="1"/>
        <v>45626</v>
      </c>
      <c r="AI2" s="12" t="str">
        <f t="shared" si="1"/>
        <v/>
      </c>
      <c r="AJ2" s="13" t="str">
        <f>'Attendance key'!$C7</f>
        <v>Present</v>
      </c>
      <c r="AK2" s="13" t="str">
        <f>'Attendance key'!$C8</f>
        <v>Leave</v>
      </c>
      <c r="AL2" s="13" t="str">
        <f>'Attendance key'!$C9</f>
        <v>Half Day</v>
      </c>
      <c r="AM2" s="14" t="s">
        <v>6</v>
      </c>
    </row>
    <row r="3" ht="18.0" customHeight="1">
      <c r="A3" s="15" t="s">
        <v>7</v>
      </c>
      <c r="B3" s="16" t="s">
        <v>8</v>
      </c>
      <c r="C3" s="10"/>
      <c r="D3" s="16" t="s">
        <v>9</v>
      </c>
      <c r="E3" s="17">
        <f t="shared" ref="E3:AI3" si="2">E2</f>
        <v>45597</v>
      </c>
      <c r="F3" s="17">
        <f t="shared" si="2"/>
        <v>45598</v>
      </c>
      <c r="G3" s="17">
        <f t="shared" si="2"/>
        <v>45599</v>
      </c>
      <c r="H3" s="17">
        <f t="shared" si="2"/>
        <v>45600</v>
      </c>
      <c r="I3" s="17">
        <f t="shared" si="2"/>
        <v>45601</v>
      </c>
      <c r="J3" s="17">
        <f t="shared" si="2"/>
        <v>45602</v>
      </c>
      <c r="K3" s="17">
        <f t="shared" si="2"/>
        <v>45603</v>
      </c>
      <c r="L3" s="17">
        <f t="shared" si="2"/>
        <v>45604</v>
      </c>
      <c r="M3" s="17">
        <f t="shared" si="2"/>
        <v>45605</v>
      </c>
      <c r="N3" s="17">
        <f t="shared" si="2"/>
        <v>45606</v>
      </c>
      <c r="O3" s="17">
        <f t="shared" si="2"/>
        <v>45607</v>
      </c>
      <c r="P3" s="17">
        <f t="shared" si="2"/>
        <v>45608</v>
      </c>
      <c r="Q3" s="17">
        <f t="shared" si="2"/>
        <v>45609</v>
      </c>
      <c r="R3" s="17">
        <f t="shared" si="2"/>
        <v>45610</v>
      </c>
      <c r="S3" s="17">
        <f t="shared" si="2"/>
        <v>45611</v>
      </c>
      <c r="T3" s="17">
        <f t="shared" si="2"/>
        <v>45612</v>
      </c>
      <c r="U3" s="17">
        <f t="shared" si="2"/>
        <v>45613</v>
      </c>
      <c r="V3" s="17">
        <f t="shared" si="2"/>
        <v>45614</v>
      </c>
      <c r="W3" s="17">
        <f t="shared" si="2"/>
        <v>45615</v>
      </c>
      <c r="X3" s="17">
        <f t="shared" si="2"/>
        <v>45616</v>
      </c>
      <c r="Y3" s="17">
        <f t="shared" si="2"/>
        <v>45617</v>
      </c>
      <c r="Z3" s="17">
        <f t="shared" si="2"/>
        <v>45618</v>
      </c>
      <c r="AA3" s="17">
        <f t="shared" si="2"/>
        <v>45619</v>
      </c>
      <c r="AB3" s="17">
        <f t="shared" si="2"/>
        <v>45620</v>
      </c>
      <c r="AC3" s="17">
        <f t="shared" si="2"/>
        <v>45621</v>
      </c>
      <c r="AD3" s="17">
        <f t="shared" si="2"/>
        <v>45622</v>
      </c>
      <c r="AE3" s="17">
        <f t="shared" si="2"/>
        <v>45623</v>
      </c>
      <c r="AF3" s="17">
        <f t="shared" si="2"/>
        <v>45624</v>
      </c>
      <c r="AG3" s="17">
        <f t="shared" si="2"/>
        <v>45625</v>
      </c>
      <c r="AH3" s="17">
        <f t="shared" si="2"/>
        <v>45626</v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8" t="str">
        <f>'Attendance key'!$B9</f>
        <v>Half Day</v>
      </c>
      <c r="AM3" s="19"/>
    </row>
    <row r="4" ht="19.5" customHeight="1">
      <c r="A4" s="20" t="str">
        <f t="shared" ref="A4:A21" si="4">B4&amp;C4&amp;D4</f>
        <v>AkhilCaptainService</v>
      </c>
      <c r="B4" s="21" t="s">
        <v>10</v>
      </c>
      <c r="C4" s="22" t="s">
        <v>11</v>
      </c>
      <c r="D4" s="22" t="s">
        <v>12</v>
      </c>
      <c r="E4" s="23" t="s">
        <v>13</v>
      </c>
      <c r="F4" s="23" t="s">
        <v>13</v>
      </c>
      <c r="G4" s="23" t="s">
        <v>13</v>
      </c>
      <c r="H4" s="23" t="s">
        <v>13</v>
      </c>
      <c r="I4" s="23" t="s">
        <v>13</v>
      </c>
      <c r="J4" s="23" t="s">
        <v>13</v>
      </c>
      <c r="K4" s="23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23" t="s">
        <v>13</v>
      </c>
      <c r="Q4" s="23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23" t="s">
        <v>13</v>
      </c>
      <c r="X4" s="23" t="s">
        <v>13</v>
      </c>
      <c r="Y4" s="23" t="s">
        <v>13</v>
      </c>
      <c r="Z4" s="23" t="s">
        <v>13</v>
      </c>
      <c r="AA4" s="23" t="s">
        <v>13</v>
      </c>
      <c r="AB4" s="23" t="s">
        <v>13</v>
      </c>
      <c r="AC4" s="23" t="s">
        <v>13</v>
      </c>
      <c r="AD4" s="23" t="s">
        <v>13</v>
      </c>
      <c r="AE4" s="23" t="s">
        <v>13</v>
      </c>
      <c r="AF4" s="23" t="s">
        <v>13</v>
      </c>
      <c r="AG4" s="23" t="s">
        <v>13</v>
      </c>
      <c r="AH4" s="23" t="s">
        <v>13</v>
      </c>
      <c r="AI4" s="23"/>
      <c r="AJ4" s="24">
        <f t="shared" ref="AJ4:AJ39" si="5">if(countif($E4:$AI4,AJ$3)&gt;day(EOMONTH($T$2,0)),"Error",countif($E4:$AI4,AJ$3))</f>
        <v>30</v>
      </c>
      <c r="AK4" s="24">
        <f t="shared" ref="AK4:AL4" si="3">countif($E4:$AI4,AK$3)</f>
        <v>0</v>
      </c>
      <c r="AL4" s="24">
        <f t="shared" si="3"/>
        <v>0</v>
      </c>
      <c r="AM4" s="25">
        <f t="shared" ref="AM4:AM39" si="7"> AJ4 + AK4 +(AL4 / 2)
</f>
        <v>30</v>
      </c>
    </row>
    <row r="5" ht="19.5" customHeight="1">
      <c r="A5" s="20" t="str">
        <f t="shared" si="4"/>
        <v>Laxmi BaiHelperMori</v>
      </c>
      <c r="B5" s="21" t="s">
        <v>14</v>
      </c>
      <c r="C5" s="22" t="s">
        <v>15</v>
      </c>
      <c r="D5" s="22" t="s">
        <v>16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23" t="s">
        <v>13</v>
      </c>
      <c r="Q5" s="23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23" t="s">
        <v>13</v>
      </c>
      <c r="X5" s="23" t="s">
        <v>13</v>
      </c>
      <c r="Y5" s="23" t="s">
        <v>13</v>
      </c>
      <c r="Z5" s="23" t="s">
        <v>13</v>
      </c>
      <c r="AA5" s="23" t="s">
        <v>13</v>
      </c>
      <c r="AB5" s="23" t="s">
        <v>13</v>
      </c>
      <c r="AC5" s="23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/>
      <c r="AJ5" s="24">
        <f t="shared" si="5"/>
        <v>30</v>
      </c>
      <c r="AK5" s="24">
        <f t="shared" ref="AK5:AL5" si="6">countif($E5:$AI5,AK$3)</f>
        <v>0</v>
      </c>
      <c r="AL5" s="24">
        <f t="shared" si="6"/>
        <v>0</v>
      </c>
      <c r="AM5" s="25">
        <f t="shared" si="7"/>
        <v>30</v>
      </c>
    </row>
    <row r="6" ht="19.5" customHeight="1">
      <c r="A6" s="20" t="str">
        <f t="shared" si="4"/>
        <v>MoleemChefTandoor</v>
      </c>
      <c r="B6" s="21" t="s">
        <v>17</v>
      </c>
      <c r="C6" s="22" t="s">
        <v>18</v>
      </c>
      <c r="D6" s="22" t="s">
        <v>19</v>
      </c>
      <c r="E6" s="23" t="s">
        <v>13</v>
      </c>
      <c r="F6" s="23" t="s">
        <v>13</v>
      </c>
      <c r="G6" s="23" t="s">
        <v>13</v>
      </c>
      <c r="H6" s="23" t="s">
        <v>13</v>
      </c>
      <c r="I6" s="23" t="s">
        <v>13</v>
      </c>
      <c r="J6" s="23" t="s">
        <v>13</v>
      </c>
      <c r="K6" s="23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23" t="s">
        <v>13</v>
      </c>
      <c r="Q6" s="23" t="s">
        <v>13</v>
      </c>
      <c r="R6" s="23" t="s">
        <v>13</v>
      </c>
      <c r="S6" s="23" t="s">
        <v>13</v>
      </c>
      <c r="T6" s="23" t="s">
        <v>13</v>
      </c>
      <c r="U6" s="23" t="s">
        <v>13</v>
      </c>
      <c r="V6" s="23" t="s">
        <v>20</v>
      </c>
      <c r="W6" s="23" t="s">
        <v>13</v>
      </c>
      <c r="X6" s="23" t="s">
        <v>13</v>
      </c>
      <c r="Y6" s="23" t="s">
        <v>13</v>
      </c>
      <c r="Z6" s="23" t="s">
        <v>13</v>
      </c>
      <c r="AA6" s="23" t="s">
        <v>13</v>
      </c>
      <c r="AB6" s="23" t="s">
        <v>13</v>
      </c>
      <c r="AC6" s="23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3"/>
      <c r="AJ6" s="24">
        <f t="shared" si="5"/>
        <v>29</v>
      </c>
      <c r="AK6" s="24">
        <f t="shared" ref="AK6:AL6" si="8">countif($E6:$AI6,AK$3)</f>
        <v>1</v>
      </c>
      <c r="AL6" s="24">
        <f t="shared" si="8"/>
        <v>0</v>
      </c>
      <c r="AM6" s="25">
        <f t="shared" si="7"/>
        <v>30</v>
      </c>
    </row>
    <row r="7" ht="19.5" customHeight="1">
      <c r="A7" s="20" t="str">
        <f t="shared" si="4"/>
        <v>SuhailWaiterService</v>
      </c>
      <c r="B7" s="21" t="s">
        <v>21</v>
      </c>
      <c r="C7" s="22" t="s">
        <v>22</v>
      </c>
      <c r="D7" s="22" t="s">
        <v>12</v>
      </c>
      <c r="E7" s="23"/>
      <c r="F7" s="23"/>
      <c r="G7" s="23"/>
      <c r="H7" s="23"/>
      <c r="I7" s="23" t="s">
        <v>13</v>
      </c>
      <c r="J7" s="23" t="s">
        <v>13</v>
      </c>
      <c r="K7" s="23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23" t="s">
        <v>13</v>
      </c>
      <c r="Q7" s="23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23" t="s">
        <v>13</v>
      </c>
      <c r="X7" s="23" t="s">
        <v>13</v>
      </c>
      <c r="Y7" s="23" t="s">
        <v>13</v>
      </c>
      <c r="Z7" s="23" t="s">
        <v>13</v>
      </c>
      <c r="AA7" s="23" t="s">
        <v>13</v>
      </c>
      <c r="AB7" s="23" t="s">
        <v>13</v>
      </c>
      <c r="AC7" s="23" t="s">
        <v>20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/>
      <c r="AJ7" s="24">
        <f t="shared" si="5"/>
        <v>25</v>
      </c>
      <c r="AK7" s="24">
        <f t="shared" ref="AK7:AL7" si="9">countif($E7:$AI7,AK$3)</f>
        <v>1</v>
      </c>
      <c r="AL7" s="24">
        <f t="shared" si="9"/>
        <v>0</v>
      </c>
      <c r="AM7" s="25">
        <f t="shared" si="7"/>
        <v>26</v>
      </c>
    </row>
    <row r="8" ht="19.5" customHeight="1">
      <c r="A8" s="20" t="str">
        <f t="shared" si="4"/>
        <v>SameerHelperTandoor</v>
      </c>
      <c r="B8" s="21" t="s">
        <v>23</v>
      </c>
      <c r="C8" s="22" t="s">
        <v>15</v>
      </c>
      <c r="D8" s="22" t="s">
        <v>19</v>
      </c>
      <c r="E8" s="23" t="s">
        <v>13</v>
      </c>
      <c r="F8" s="23" t="s">
        <v>13</v>
      </c>
      <c r="G8" s="23" t="s">
        <v>13</v>
      </c>
      <c r="H8" s="23" t="s">
        <v>20</v>
      </c>
      <c r="I8" s="23" t="s">
        <v>13</v>
      </c>
      <c r="J8" s="23" t="s">
        <v>13</v>
      </c>
      <c r="K8" s="23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/>
      <c r="AJ8" s="24">
        <f t="shared" si="5"/>
        <v>29</v>
      </c>
      <c r="AK8" s="24">
        <f t="shared" ref="AK8:AL8" si="10">countif($E8:$AI8,AK$3)</f>
        <v>1</v>
      </c>
      <c r="AL8" s="24">
        <f t="shared" si="10"/>
        <v>0</v>
      </c>
      <c r="AM8" s="25">
        <f t="shared" si="7"/>
        <v>30</v>
      </c>
    </row>
    <row r="9" ht="19.5" customHeight="1">
      <c r="A9" s="20" t="str">
        <f t="shared" si="4"/>
        <v>WakilHelperMori</v>
      </c>
      <c r="B9" s="21" t="s">
        <v>24</v>
      </c>
      <c r="C9" s="22" t="s">
        <v>15</v>
      </c>
      <c r="D9" s="22" t="s">
        <v>16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20</v>
      </c>
      <c r="J9" s="23" t="s">
        <v>13</v>
      </c>
      <c r="K9" s="23" t="s">
        <v>13</v>
      </c>
      <c r="L9" s="23" t="s">
        <v>13</v>
      </c>
      <c r="M9" s="23" t="s">
        <v>13</v>
      </c>
      <c r="N9" s="23" t="s">
        <v>13</v>
      </c>
      <c r="O9" s="23" t="s">
        <v>20</v>
      </c>
      <c r="P9" s="23" t="s">
        <v>13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20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/>
      <c r="AJ9" s="24">
        <f t="shared" si="5"/>
        <v>27</v>
      </c>
      <c r="AK9" s="24">
        <f t="shared" ref="AK9:AL9" si="11">countif($E9:$AI9,AK$3)</f>
        <v>3</v>
      </c>
      <c r="AL9" s="24">
        <f t="shared" si="11"/>
        <v>0</v>
      </c>
      <c r="AM9" s="25">
        <f t="shared" si="7"/>
        <v>30</v>
      </c>
    </row>
    <row r="10" ht="19.5" customHeight="1">
      <c r="A10" s="20" t="str">
        <f t="shared" si="4"/>
        <v>VijayChefTandoor</v>
      </c>
      <c r="B10" s="21" t="s">
        <v>25</v>
      </c>
      <c r="C10" s="22" t="s">
        <v>18</v>
      </c>
      <c r="D10" s="22" t="s">
        <v>19</v>
      </c>
      <c r="E10" s="23" t="s">
        <v>13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13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20</v>
      </c>
      <c r="X10" s="23" t="s">
        <v>13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13</v>
      </c>
      <c r="AD10" s="23" t="s">
        <v>20</v>
      </c>
      <c r="AE10" s="23" t="s">
        <v>20</v>
      </c>
      <c r="AF10" s="23" t="s">
        <v>20</v>
      </c>
      <c r="AG10" s="23" t="s">
        <v>20</v>
      </c>
      <c r="AH10" s="23" t="s">
        <v>20</v>
      </c>
      <c r="AI10" s="23"/>
      <c r="AJ10" s="24">
        <f t="shared" si="5"/>
        <v>24</v>
      </c>
      <c r="AK10" s="24">
        <f t="shared" ref="AK10:AL10" si="12">countif($E10:$AI10,AK$3)</f>
        <v>6</v>
      </c>
      <c r="AL10" s="24">
        <f t="shared" si="12"/>
        <v>0</v>
      </c>
      <c r="AM10" s="25">
        <f t="shared" si="7"/>
        <v>30</v>
      </c>
    </row>
    <row r="11" ht="19.5" customHeight="1">
      <c r="A11" s="20" t="str">
        <f t="shared" si="4"/>
        <v>NaseemSupervisorSupervisor</v>
      </c>
      <c r="B11" s="21" t="s">
        <v>26</v>
      </c>
      <c r="C11" s="22" t="s">
        <v>27</v>
      </c>
      <c r="D11" s="22" t="s">
        <v>27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/>
      <c r="AJ11" s="24">
        <f t="shared" si="5"/>
        <v>30</v>
      </c>
      <c r="AK11" s="24">
        <f t="shared" ref="AK11:AL11" si="13">countif($E11:$AI11,AK$3)</f>
        <v>0</v>
      </c>
      <c r="AL11" s="24">
        <f t="shared" si="13"/>
        <v>0</v>
      </c>
      <c r="AM11" s="25">
        <f t="shared" si="7"/>
        <v>30</v>
      </c>
    </row>
    <row r="12" ht="19.5" customHeight="1">
      <c r="A12" s="20" t="str">
        <f t="shared" si="4"/>
        <v>RajeshCombiTandoor</v>
      </c>
      <c r="B12" s="21" t="s">
        <v>28</v>
      </c>
      <c r="C12" s="22" t="s">
        <v>29</v>
      </c>
      <c r="D12" s="22" t="s">
        <v>19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/>
      <c r="AJ12" s="24">
        <f t="shared" si="5"/>
        <v>15</v>
      </c>
      <c r="AK12" s="24">
        <f t="shared" ref="AK12:AL12" si="14">countif($E12:$AI12,AK$3)</f>
        <v>0</v>
      </c>
      <c r="AL12" s="24">
        <f t="shared" si="14"/>
        <v>0</v>
      </c>
      <c r="AM12" s="25">
        <f t="shared" si="7"/>
        <v>15</v>
      </c>
    </row>
    <row r="13" ht="19.5" customHeight="1">
      <c r="A13" s="20" t="str">
        <f t="shared" si="4"/>
        <v>AyubChefTava</v>
      </c>
      <c r="B13" s="21" t="s">
        <v>30</v>
      </c>
      <c r="C13" s="22" t="s">
        <v>18</v>
      </c>
      <c r="D13" s="22" t="s">
        <v>31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  <c r="K13" s="23" t="s">
        <v>20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/>
      <c r="AJ13" s="24">
        <f t="shared" si="5"/>
        <v>29</v>
      </c>
      <c r="AK13" s="24">
        <f t="shared" ref="AK13:AL13" si="15">countif($E13:$AI13,AK$3)</f>
        <v>1</v>
      </c>
      <c r="AL13" s="24">
        <f t="shared" si="15"/>
        <v>0</v>
      </c>
      <c r="AM13" s="25">
        <f t="shared" si="7"/>
        <v>30</v>
      </c>
    </row>
    <row r="14" ht="19.5" customHeight="1">
      <c r="A14" s="20" t="str">
        <f t="shared" si="4"/>
        <v>AasifChefIndian</v>
      </c>
      <c r="B14" s="21" t="s">
        <v>32</v>
      </c>
      <c r="C14" s="22" t="s">
        <v>18</v>
      </c>
      <c r="D14" s="22" t="s">
        <v>33</v>
      </c>
      <c r="E14" s="23" t="s">
        <v>13</v>
      </c>
      <c r="F14" s="23" t="s">
        <v>34</v>
      </c>
      <c r="G14" s="23" t="s">
        <v>13</v>
      </c>
      <c r="H14" s="23" t="s">
        <v>13</v>
      </c>
      <c r="I14" s="23" t="s">
        <v>13</v>
      </c>
      <c r="J14" s="23" t="s">
        <v>13</v>
      </c>
      <c r="K14" s="23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13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/>
      <c r="AJ14" s="24">
        <f t="shared" si="5"/>
        <v>29</v>
      </c>
      <c r="AK14" s="24">
        <f t="shared" ref="AK14:AL14" si="16">countif($E14:$AI14,AK$3)</f>
        <v>0</v>
      </c>
      <c r="AL14" s="24">
        <f t="shared" si="16"/>
        <v>1</v>
      </c>
      <c r="AM14" s="25">
        <f t="shared" si="7"/>
        <v>29.5</v>
      </c>
    </row>
    <row r="15" ht="19.5" customHeight="1">
      <c r="A15" s="20" t="str">
        <f t="shared" si="4"/>
        <v>BaitullaCombiIndian</v>
      </c>
      <c r="B15" s="21" t="s">
        <v>35</v>
      </c>
      <c r="C15" s="22" t="s">
        <v>29</v>
      </c>
      <c r="D15" s="22" t="s">
        <v>33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20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13</v>
      </c>
      <c r="O15" s="23" t="s">
        <v>20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20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/>
      <c r="AJ15" s="24">
        <f t="shared" si="5"/>
        <v>27</v>
      </c>
      <c r="AK15" s="24">
        <f t="shared" ref="AK15:AL15" si="17">countif($E15:$AI15,AK$3)</f>
        <v>3</v>
      </c>
      <c r="AL15" s="24">
        <f t="shared" si="17"/>
        <v>0</v>
      </c>
      <c r="AM15" s="25">
        <f t="shared" si="7"/>
        <v>30</v>
      </c>
    </row>
    <row r="16" ht="19.5" customHeight="1">
      <c r="A16" s="20" t="str">
        <f t="shared" si="4"/>
        <v>Glenn SirManagerManager</v>
      </c>
      <c r="B16" s="21" t="s">
        <v>36</v>
      </c>
      <c r="C16" s="22" t="s">
        <v>37</v>
      </c>
      <c r="D16" s="22" t="s">
        <v>37</v>
      </c>
      <c r="E16" s="23" t="s">
        <v>20</v>
      </c>
      <c r="F16" s="23" t="s">
        <v>20</v>
      </c>
      <c r="G16" s="23" t="s">
        <v>20</v>
      </c>
      <c r="H16" s="23" t="s">
        <v>20</v>
      </c>
      <c r="I16" s="23" t="s">
        <v>20</v>
      </c>
      <c r="J16" s="23" t="s">
        <v>20</v>
      </c>
      <c r="K16" s="23" t="s">
        <v>20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38</v>
      </c>
      <c r="T16" s="23" t="s">
        <v>38</v>
      </c>
      <c r="U16" s="23" t="s">
        <v>38</v>
      </c>
      <c r="V16" s="23" t="s">
        <v>38</v>
      </c>
      <c r="W16" s="23" t="s">
        <v>38</v>
      </c>
      <c r="X16" s="23" t="s">
        <v>38</v>
      </c>
      <c r="Y16" s="23" t="s">
        <v>38</v>
      </c>
      <c r="Z16" s="23" t="s">
        <v>38</v>
      </c>
      <c r="AA16" s="23" t="s">
        <v>38</v>
      </c>
      <c r="AB16" s="23" t="s">
        <v>38</v>
      </c>
      <c r="AC16" s="23" t="s">
        <v>38</v>
      </c>
      <c r="AD16" s="23" t="s">
        <v>38</v>
      </c>
      <c r="AE16" s="23" t="s">
        <v>38</v>
      </c>
      <c r="AF16" s="23" t="s">
        <v>38</v>
      </c>
      <c r="AG16" s="23" t="s">
        <v>38</v>
      </c>
      <c r="AH16" s="23" t="s">
        <v>38</v>
      </c>
      <c r="AI16" s="23"/>
      <c r="AJ16" s="24">
        <f t="shared" si="5"/>
        <v>7</v>
      </c>
      <c r="AK16" s="24">
        <f t="shared" ref="AK16:AL16" si="18">countif($E16:$AI16,AK$3)</f>
        <v>7</v>
      </c>
      <c r="AL16" s="24">
        <f t="shared" si="18"/>
        <v>0</v>
      </c>
      <c r="AM16" s="25">
        <f t="shared" si="7"/>
        <v>14</v>
      </c>
    </row>
    <row r="17" ht="19.5" customHeight="1">
      <c r="A17" s="20" t="str">
        <f t="shared" si="4"/>
        <v>AbdullahCombiChinese</v>
      </c>
      <c r="B17" s="21" t="s">
        <v>39</v>
      </c>
      <c r="C17" s="22" t="s">
        <v>29</v>
      </c>
      <c r="D17" s="22" t="s">
        <v>40</v>
      </c>
      <c r="E17" s="23" t="s">
        <v>13</v>
      </c>
      <c r="F17" s="23" t="s">
        <v>13</v>
      </c>
      <c r="G17" s="23" t="s">
        <v>13</v>
      </c>
      <c r="H17" s="23" t="s">
        <v>20</v>
      </c>
      <c r="I17" s="23" t="s">
        <v>13</v>
      </c>
      <c r="J17" s="23" t="s">
        <v>13</v>
      </c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/>
      <c r="AJ17" s="24">
        <f t="shared" si="5"/>
        <v>29</v>
      </c>
      <c r="AK17" s="24">
        <f t="shared" ref="AK17:AL17" si="19">countif($E17:$AI17,AK$3)</f>
        <v>1</v>
      </c>
      <c r="AL17" s="24">
        <f t="shared" si="19"/>
        <v>0</v>
      </c>
      <c r="AM17" s="25">
        <f t="shared" si="7"/>
        <v>30</v>
      </c>
    </row>
    <row r="18" ht="19.5" customHeight="1">
      <c r="A18" s="20" t="str">
        <f t="shared" si="4"/>
        <v>MujeemHelperIndian</v>
      </c>
      <c r="B18" s="21" t="s">
        <v>41</v>
      </c>
      <c r="C18" s="22" t="s">
        <v>15</v>
      </c>
      <c r="D18" s="22" t="s">
        <v>33</v>
      </c>
      <c r="E18" s="23" t="s">
        <v>13</v>
      </c>
      <c r="F18" s="23" t="s">
        <v>13</v>
      </c>
      <c r="G18" s="23" t="s">
        <v>13</v>
      </c>
      <c r="H18" s="23" t="s">
        <v>13</v>
      </c>
      <c r="I18" s="23" t="s">
        <v>20</v>
      </c>
      <c r="J18" s="23" t="s">
        <v>13</v>
      </c>
      <c r="K18" s="23" t="s">
        <v>13</v>
      </c>
      <c r="L18" s="23" t="s">
        <v>13</v>
      </c>
      <c r="M18" s="23" t="s">
        <v>13</v>
      </c>
      <c r="N18" s="23" t="s">
        <v>20</v>
      </c>
      <c r="O18" s="23" t="s">
        <v>13</v>
      </c>
      <c r="P18" s="23" t="s">
        <v>13</v>
      </c>
      <c r="Q18" s="23" t="s">
        <v>13</v>
      </c>
      <c r="R18" s="23" t="s">
        <v>13</v>
      </c>
      <c r="S18" s="23" t="s">
        <v>13</v>
      </c>
      <c r="T18" s="23" t="s">
        <v>13</v>
      </c>
      <c r="U18" s="23" t="s">
        <v>13</v>
      </c>
      <c r="V18" s="23" t="s">
        <v>13</v>
      </c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20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/>
      <c r="AJ18" s="24">
        <f t="shared" si="5"/>
        <v>27</v>
      </c>
      <c r="AK18" s="24">
        <f t="shared" ref="AK18:AL18" si="20">countif($E18:$AI18,AK$3)</f>
        <v>3</v>
      </c>
      <c r="AL18" s="24">
        <f t="shared" si="20"/>
        <v>0</v>
      </c>
      <c r="AM18" s="25">
        <f t="shared" si="7"/>
        <v>30</v>
      </c>
    </row>
    <row r="19" ht="19.5" customHeight="1">
      <c r="A19" s="20" t="str">
        <f t="shared" si="4"/>
        <v>SameerBillerService</v>
      </c>
      <c r="B19" s="21" t="s">
        <v>23</v>
      </c>
      <c r="C19" s="22" t="s">
        <v>42</v>
      </c>
      <c r="D19" s="22" t="s">
        <v>12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13</v>
      </c>
      <c r="J19" s="23" t="s">
        <v>20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20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20</v>
      </c>
      <c r="AH19" s="23" t="s">
        <v>13</v>
      </c>
      <c r="AI19" s="23"/>
      <c r="AJ19" s="24">
        <f t="shared" si="5"/>
        <v>27</v>
      </c>
      <c r="AK19" s="24">
        <f t="shared" ref="AK19:AL19" si="21">countif($E19:$AI19,AK$3)</f>
        <v>3</v>
      </c>
      <c r="AL19" s="24">
        <f t="shared" si="21"/>
        <v>0</v>
      </c>
      <c r="AM19" s="25">
        <f t="shared" si="7"/>
        <v>30</v>
      </c>
    </row>
    <row r="20" ht="19.5" customHeight="1">
      <c r="A20" s="20" t="str">
        <f t="shared" si="4"/>
        <v>DanishCombiIndian</v>
      </c>
      <c r="B20" s="21" t="s">
        <v>43</v>
      </c>
      <c r="C20" s="22" t="s">
        <v>29</v>
      </c>
      <c r="D20" s="22" t="s">
        <v>33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3"/>
      <c r="AJ20" s="24">
        <f t="shared" si="5"/>
        <v>8</v>
      </c>
      <c r="AK20" s="24">
        <f t="shared" ref="AK20:AL20" si="22">countif($E20:$AI20,AK$3)</f>
        <v>0</v>
      </c>
      <c r="AL20" s="24">
        <f t="shared" si="22"/>
        <v>0</v>
      </c>
      <c r="AM20" s="25">
        <f t="shared" si="7"/>
        <v>8</v>
      </c>
    </row>
    <row r="21" ht="19.5" customHeight="1">
      <c r="A21" s="20" t="str">
        <f t="shared" si="4"/>
        <v>IrfanChefChinese</v>
      </c>
      <c r="B21" s="21" t="s">
        <v>44</v>
      </c>
      <c r="C21" s="22" t="s">
        <v>18</v>
      </c>
      <c r="D21" s="22" t="s">
        <v>40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 t="s">
        <v>34</v>
      </c>
      <c r="AD21" s="23" t="s">
        <v>13</v>
      </c>
      <c r="AE21" s="23" t="s">
        <v>13</v>
      </c>
      <c r="AF21" s="23" t="s">
        <v>13</v>
      </c>
      <c r="AG21" s="23" t="s">
        <v>13</v>
      </c>
      <c r="AH21" s="23" t="s">
        <v>13</v>
      </c>
      <c r="AI21" s="23"/>
      <c r="AJ21" s="24">
        <f t="shared" si="5"/>
        <v>5</v>
      </c>
      <c r="AK21" s="24">
        <f t="shared" ref="AK21:AL21" si="23">countif($E21:$AI21,AK$3)</f>
        <v>0</v>
      </c>
      <c r="AL21" s="24">
        <f t="shared" si="23"/>
        <v>1</v>
      </c>
      <c r="AM21" s="25">
        <f t="shared" si="7"/>
        <v>5.5</v>
      </c>
    </row>
    <row r="22" ht="19.5" customHeight="1">
      <c r="A22" s="20" t="s">
        <v>45</v>
      </c>
      <c r="B22" s="21"/>
      <c r="C22" s="20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5"/>
        <v>0</v>
      </c>
      <c r="AK22" s="24">
        <f t="shared" ref="AK22:AL22" si="24">countif($E22:$AI22,AK$3)</f>
        <v>0</v>
      </c>
      <c r="AL22" s="24">
        <f t="shared" si="24"/>
        <v>0</v>
      </c>
      <c r="AM22" s="25">
        <f t="shared" si="7"/>
        <v>0</v>
      </c>
    </row>
    <row r="23" ht="19.5" customHeight="1">
      <c r="A23" s="26"/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5"/>
        <v>0</v>
      </c>
      <c r="AK23" s="24">
        <f t="shared" ref="AK23:AL23" si="25">countif($E23:$AI23,AK$3)</f>
        <v>0</v>
      </c>
      <c r="AL23" s="24">
        <f t="shared" si="25"/>
        <v>0</v>
      </c>
      <c r="AM23" s="25">
        <f t="shared" si="7"/>
        <v>0</v>
      </c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5"/>
        <v>0</v>
      </c>
      <c r="AK24" s="24">
        <f t="shared" ref="AK24:AL24" si="26">countif($E24:$AI24,AK$3)</f>
        <v>0</v>
      </c>
      <c r="AL24" s="24">
        <f t="shared" si="26"/>
        <v>0</v>
      </c>
      <c r="AM24" s="25">
        <f t="shared" si="7"/>
        <v>0</v>
      </c>
    </row>
    <row r="25" ht="19.5" customHeight="1">
      <c r="A25" s="26"/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5"/>
        <v>0</v>
      </c>
      <c r="AK25" s="24">
        <f t="shared" ref="AK25:AL25" si="27">countif($E25:$AI25,AK$3)</f>
        <v>0</v>
      </c>
      <c r="AL25" s="24">
        <f t="shared" si="27"/>
        <v>0</v>
      </c>
      <c r="AM25" s="25">
        <f t="shared" si="7"/>
        <v>0</v>
      </c>
    </row>
    <row r="26" ht="19.5" customHeight="1">
      <c r="A26" s="26"/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5"/>
        <v>0</v>
      </c>
      <c r="AK26" s="24">
        <f t="shared" ref="AK26:AL26" si="28">countif($E26:$AI26,AK$3)</f>
        <v>0</v>
      </c>
      <c r="AL26" s="24">
        <f t="shared" si="28"/>
        <v>0</v>
      </c>
      <c r="AM26" s="25">
        <f t="shared" si="7"/>
        <v>0</v>
      </c>
    </row>
    <row r="27" ht="19.5" customHeight="1">
      <c r="A27" s="26"/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5"/>
        <v>0</v>
      </c>
      <c r="AK27" s="24">
        <f t="shared" ref="AK27:AL27" si="29">countif($E27:$AI27,AK$3)</f>
        <v>0</v>
      </c>
      <c r="AL27" s="24">
        <f t="shared" si="29"/>
        <v>0</v>
      </c>
      <c r="AM27" s="25">
        <f t="shared" si="7"/>
        <v>0</v>
      </c>
    </row>
    <row r="28" ht="19.5" customHeight="1">
      <c r="A28" s="26"/>
      <c r="B28" s="27"/>
      <c r="C28" s="26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>
        <f t="shared" si="5"/>
        <v>0</v>
      </c>
      <c r="AK28" s="24">
        <f t="shared" ref="AK28:AL28" si="30">countif($E28:$AI28,AK$3)</f>
        <v>0</v>
      </c>
      <c r="AL28" s="24">
        <f t="shared" si="30"/>
        <v>0</v>
      </c>
      <c r="AM28" s="25">
        <f t="shared" si="7"/>
        <v>0</v>
      </c>
    </row>
    <row r="29" ht="19.5" customHeight="1">
      <c r="A29" s="26"/>
      <c r="B29" s="27"/>
      <c r="C29" s="26"/>
      <c r="D29" s="26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>
        <f t="shared" si="5"/>
        <v>0</v>
      </c>
      <c r="AK29" s="24">
        <f t="shared" ref="AK29:AL29" si="31">countif($E29:$AI29,AK$3)</f>
        <v>0</v>
      </c>
      <c r="AL29" s="24">
        <f t="shared" si="31"/>
        <v>0</v>
      </c>
      <c r="AM29" s="25">
        <f t="shared" si="7"/>
        <v>0</v>
      </c>
    </row>
    <row r="30" ht="19.5" customHeight="1">
      <c r="A30" s="26"/>
      <c r="B30" s="27"/>
      <c r="C30" s="26"/>
      <c r="D30" s="26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>
        <f t="shared" si="5"/>
        <v>0</v>
      </c>
      <c r="AK30" s="24">
        <f t="shared" ref="AK30:AL30" si="32">countif($E30:$AI30,AK$3)</f>
        <v>0</v>
      </c>
      <c r="AL30" s="24">
        <f t="shared" si="32"/>
        <v>0</v>
      </c>
      <c r="AM30" s="25">
        <f t="shared" si="7"/>
        <v>0</v>
      </c>
    </row>
    <row r="31" ht="19.5" customHeight="1">
      <c r="A31" s="26"/>
      <c r="B31" s="27"/>
      <c r="C31" s="26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>
        <f t="shared" si="5"/>
        <v>0</v>
      </c>
      <c r="AK31" s="24">
        <f t="shared" ref="AK31:AL31" si="33">countif($E31:$AI31,AK$3)</f>
        <v>0</v>
      </c>
      <c r="AL31" s="24">
        <f t="shared" si="33"/>
        <v>0</v>
      </c>
      <c r="AM31" s="25">
        <f t="shared" si="7"/>
        <v>0</v>
      </c>
    </row>
    <row r="32" ht="19.5" customHeight="1">
      <c r="A32" s="26"/>
      <c r="B32" s="27"/>
      <c r="C32" s="26"/>
      <c r="D32" s="26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>
        <f t="shared" si="5"/>
        <v>0</v>
      </c>
      <c r="AK32" s="24">
        <f t="shared" ref="AK32:AL32" si="34">countif($E32:$AI32,AK$3)</f>
        <v>0</v>
      </c>
      <c r="AL32" s="24">
        <f t="shared" si="34"/>
        <v>0</v>
      </c>
      <c r="AM32" s="25">
        <f t="shared" si="7"/>
        <v>0</v>
      </c>
    </row>
    <row r="33" ht="19.5" customHeight="1">
      <c r="A33" s="26"/>
      <c r="B33" s="27"/>
      <c r="C33" s="26"/>
      <c r="D33" s="2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>
        <f t="shared" si="5"/>
        <v>0</v>
      </c>
      <c r="AK33" s="24">
        <f t="shared" ref="AK33:AL33" si="35">countif($E33:$AI33,AK$3)</f>
        <v>0</v>
      </c>
      <c r="AL33" s="24">
        <f t="shared" si="35"/>
        <v>0</v>
      </c>
      <c r="AM33" s="25">
        <f t="shared" si="7"/>
        <v>0</v>
      </c>
    </row>
    <row r="34" ht="19.5" customHeight="1">
      <c r="A34" s="26"/>
      <c r="B34" s="27"/>
      <c r="C34" s="26"/>
      <c r="D34" s="2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>
        <f t="shared" si="5"/>
        <v>0</v>
      </c>
      <c r="AK34" s="24">
        <f t="shared" ref="AK34:AL34" si="36">countif($E34:$AI34,AK$3)</f>
        <v>0</v>
      </c>
      <c r="AL34" s="24">
        <f t="shared" si="36"/>
        <v>0</v>
      </c>
      <c r="AM34" s="25">
        <f t="shared" si="7"/>
        <v>0</v>
      </c>
    </row>
    <row r="35" ht="19.5" customHeight="1">
      <c r="A35" s="26"/>
      <c r="B35" s="27"/>
      <c r="C35" s="26"/>
      <c r="D35" s="2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4">
        <f t="shared" si="5"/>
        <v>0</v>
      </c>
      <c r="AK35" s="24">
        <f t="shared" ref="AK35:AL35" si="37">countif($E35:$AI35,AK$3)</f>
        <v>0</v>
      </c>
      <c r="AL35" s="24">
        <f t="shared" si="37"/>
        <v>0</v>
      </c>
      <c r="AM35" s="25">
        <f t="shared" si="7"/>
        <v>0</v>
      </c>
    </row>
    <row r="36" ht="19.5" customHeight="1">
      <c r="A36" s="26"/>
      <c r="B36" s="27"/>
      <c r="C36" s="26"/>
      <c r="D36" s="26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4">
        <f t="shared" si="5"/>
        <v>0</v>
      </c>
      <c r="AK36" s="24">
        <f t="shared" ref="AK36:AL36" si="38">countif($E36:$AI36,AK$3)</f>
        <v>0</v>
      </c>
      <c r="AL36" s="24">
        <f t="shared" si="38"/>
        <v>0</v>
      </c>
      <c r="AM36" s="25">
        <f t="shared" si="7"/>
        <v>0</v>
      </c>
    </row>
    <row r="37" ht="19.5" customHeight="1">
      <c r="A37" s="26"/>
      <c r="B37" s="27"/>
      <c r="C37" s="26"/>
      <c r="D37" s="26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4">
        <f t="shared" si="5"/>
        <v>0</v>
      </c>
      <c r="AK37" s="24">
        <f t="shared" ref="AK37:AL37" si="39">countif($E37:$AI37,AK$3)</f>
        <v>0</v>
      </c>
      <c r="AL37" s="24">
        <f t="shared" si="39"/>
        <v>0</v>
      </c>
      <c r="AM37" s="25">
        <f t="shared" si="7"/>
        <v>0</v>
      </c>
    </row>
    <row r="38" ht="19.5" customHeight="1">
      <c r="A38" s="26"/>
      <c r="B38" s="27"/>
      <c r="C38" s="26"/>
      <c r="D38" s="26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4">
        <f t="shared" si="5"/>
        <v>0</v>
      </c>
      <c r="AK38" s="24">
        <f t="shared" ref="AK38:AL38" si="40">countif($E38:$AI38,AK$3)</f>
        <v>0</v>
      </c>
      <c r="AL38" s="24">
        <f t="shared" si="40"/>
        <v>0</v>
      </c>
      <c r="AM38" s="25">
        <f t="shared" si="7"/>
        <v>0</v>
      </c>
    </row>
    <row r="39" ht="19.5" customHeight="1">
      <c r="A39" s="26"/>
      <c r="B39" s="27"/>
      <c r="C39" s="26"/>
      <c r="D39" s="26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4">
        <f t="shared" si="5"/>
        <v>0</v>
      </c>
      <c r="AK39" s="24">
        <f t="shared" ref="AK39:AL39" si="41">countif($E39:$AI39,AK$3)</f>
        <v>0</v>
      </c>
      <c r="AL39" s="24">
        <f t="shared" si="41"/>
        <v>0</v>
      </c>
      <c r="AM39" s="25">
        <f t="shared" si="7"/>
        <v>0</v>
      </c>
    </row>
    <row r="40" ht="19.5" hidden="1" customHeight="1">
      <c r="A40" s="28"/>
      <c r="B40" s="29"/>
      <c r="C40" s="28"/>
      <c r="D40" s="28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1">
        <f t="shared" ref="AK40:AM40" si="42">countif($E40:$Y40,AK$3)</f>
        <v>0</v>
      </c>
      <c r="AL40" s="32">
        <f t="shared" si="42"/>
        <v>0</v>
      </c>
      <c r="AM40" s="33">
        <f t="shared" si="42"/>
        <v>0</v>
      </c>
    </row>
  </sheetData>
  <mergeCells count="1">
    <mergeCell ref="E1:U1"/>
  </mergeCells>
  <dataValidations>
    <dataValidation type="list" allowBlank="1" showErrorMessage="1" sqref="E4:AI39 E40:AJ40">
      <formula1>"Present,Off,Half Day,Left"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12.88"/>
    <col customWidth="1" min="6" max="36" width="6.13"/>
    <col customWidth="1" min="37" max="39" width="9.38"/>
  </cols>
  <sheetData>
    <row r="1" ht="3.0" customHeight="1">
      <c r="A1" s="5"/>
      <c r="B1" s="5"/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ht="26.25" customHeight="1">
      <c r="A2" s="9"/>
      <c r="B2" s="10" t="s">
        <v>5</v>
      </c>
      <c r="C2" s="10"/>
      <c r="D2" s="10"/>
      <c r="E2" s="11">
        <v>45627.0</v>
      </c>
      <c r="F2" s="12">
        <f t="shared" ref="F2:AI2" si="1">IF(MONTH(E2+1)=MONTH(EOMONTH($E$2,0)),E2+1,"")</f>
        <v>45628</v>
      </c>
      <c r="G2" s="12">
        <f t="shared" si="1"/>
        <v>45629</v>
      </c>
      <c r="H2" s="12">
        <f t="shared" si="1"/>
        <v>45630</v>
      </c>
      <c r="I2" s="12">
        <f t="shared" si="1"/>
        <v>45631</v>
      </c>
      <c r="J2" s="12">
        <f t="shared" si="1"/>
        <v>45632</v>
      </c>
      <c r="K2" s="12">
        <f t="shared" si="1"/>
        <v>45633</v>
      </c>
      <c r="L2" s="12">
        <f t="shared" si="1"/>
        <v>45634</v>
      </c>
      <c r="M2" s="12">
        <f t="shared" si="1"/>
        <v>45635</v>
      </c>
      <c r="N2" s="12">
        <f t="shared" si="1"/>
        <v>45636</v>
      </c>
      <c r="O2" s="12">
        <f t="shared" si="1"/>
        <v>45637</v>
      </c>
      <c r="P2" s="12">
        <f t="shared" si="1"/>
        <v>45638</v>
      </c>
      <c r="Q2" s="12">
        <f t="shared" si="1"/>
        <v>45639</v>
      </c>
      <c r="R2" s="12">
        <f t="shared" si="1"/>
        <v>45640</v>
      </c>
      <c r="S2" s="12">
        <f t="shared" si="1"/>
        <v>45641</v>
      </c>
      <c r="T2" s="12">
        <f t="shared" si="1"/>
        <v>45642</v>
      </c>
      <c r="U2" s="12">
        <f t="shared" si="1"/>
        <v>45643</v>
      </c>
      <c r="V2" s="12">
        <f t="shared" si="1"/>
        <v>45644</v>
      </c>
      <c r="W2" s="12">
        <f t="shared" si="1"/>
        <v>45645</v>
      </c>
      <c r="X2" s="12">
        <f t="shared" si="1"/>
        <v>45646</v>
      </c>
      <c r="Y2" s="12">
        <f t="shared" si="1"/>
        <v>45647</v>
      </c>
      <c r="Z2" s="12">
        <f t="shared" si="1"/>
        <v>45648</v>
      </c>
      <c r="AA2" s="12">
        <f t="shared" si="1"/>
        <v>45649</v>
      </c>
      <c r="AB2" s="12">
        <f t="shared" si="1"/>
        <v>45650</v>
      </c>
      <c r="AC2" s="12">
        <f t="shared" si="1"/>
        <v>45651</v>
      </c>
      <c r="AD2" s="12">
        <f t="shared" si="1"/>
        <v>45652</v>
      </c>
      <c r="AE2" s="12">
        <f t="shared" si="1"/>
        <v>45653</v>
      </c>
      <c r="AF2" s="12">
        <f t="shared" si="1"/>
        <v>45654</v>
      </c>
      <c r="AG2" s="12">
        <f t="shared" si="1"/>
        <v>45655</v>
      </c>
      <c r="AH2" s="12">
        <f t="shared" si="1"/>
        <v>45656</v>
      </c>
      <c r="AI2" s="12">
        <f t="shared" si="1"/>
        <v>45657</v>
      </c>
      <c r="AJ2" s="13" t="str">
        <f>'Attendance key'!$C7</f>
        <v>Present</v>
      </c>
      <c r="AK2" s="13" t="str">
        <f>'Attendance key'!$C8</f>
        <v>Leave</v>
      </c>
      <c r="AL2" s="13" t="str">
        <f>'Attendance key'!$C9</f>
        <v>Half Day</v>
      </c>
      <c r="AM2" s="14" t="s">
        <v>6</v>
      </c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45627</v>
      </c>
      <c r="F3" s="17">
        <f t="shared" si="2"/>
        <v>45628</v>
      </c>
      <c r="G3" s="17">
        <f t="shared" si="2"/>
        <v>45629</v>
      </c>
      <c r="H3" s="17">
        <f t="shared" si="2"/>
        <v>45630</v>
      </c>
      <c r="I3" s="17">
        <f t="shared" si="2"/>
        <v>45631</v>
      </c>
      <c r="J3" s="17">
        <f t="shared" si="2"/>
        <v>45632</v>
      </c>
      <c r="K3" s="17">
        <f t="shared" si="2"/>
        <v>45633</v>
      </c>
      <c r="L3" s="17">
        <f t="shared" si="2"/>
        <v>45634</v>
      </c>
      <c r="M3" s="17">
        <f t="shared" si="2"/>
        <v>45635</v>
      </c>
      <c r="N3" s="17">
        <f t="shared" si="2"/>
        <v>45636</v>
      </c>
      <c r="O3" s="17">
        <f t="shared" si="2"/>
        <v>45637</v>
      </c>
      <c r="P3" s="17">
        <f t="shared" si="2"/>
        <v>45638</v>
      </c>
      <c r="Q3" s="17">
        <f t="shared" si="2"/>
        <v>45639</v>
      </c>
      <c r="R3" s="17">
        <f t="shared" si="2"/>
        <v>45640</v>
      </c>
      <c r="S3" s="17">
        <f t="shared" si="2"/>
        <v>45641</v>
      </c>
      <c r="T3" s="17">
        <f t="shared" si="2"/>
        <v>45642</v>
      </c>
      <c r="U3" s="17">
        <f t="shared" si="2"/>
        <v>45643</v>
      </c>
      <c r="V3" s="17">
        <f t="shared" si="2"/>
        <v>45644</v>
      </c>
      <c r="W3" s="17">
        <f t="shared" si="2"/>
        <v>45645</v>
      </c>
      <c r="X3" s="17">
        <f t="shared" si="2"/>
        <v>45646</v>
      </c>
      <c r="Y3" s="17">
        <f t="shared" si="2"/>
        <v>45647</v>
      </c>
      <c r="Z3" s="17">
        <f t="shared" si="2"/>
        <v>45648</v>
      </c>
      <c r="AA3" s="17">
        <f t="shared" si="2"/>
        <v>45649</v>
      </c>
      <c r="AB3" s="17">
        <f t="shared" si="2"/>
        <v>45650</v>
      </c>
      <c r="AC3" s="17">
        <f t="shared" si="2"/>
        <v>45651</v>
      </c>
      <c r="AD3" s="17">
        <f t="shared" si="2"/>
        <v>45652</v>
      </c>
      <c r="AE3" s="17">
        <f t="shared" si="2"/>
        <v>45653</v>
      </c>
      <c r="AF3" s="17">
        <f t="shared" si="2"/>
        <v>45654</v>
      </c>
      <c r="AG3" s="17">
        <f t="shared" si="2"/>
        <v>45655</v>
      </c>
      <c r="AH3" s="17">
        <f t="shared" si="2"/>
        <v>45656</v>
      </c>
      <c r="AI3" s="17">
        <f t="shared" si="2"/>
        <v>45657</v>
      </c>
      <c r="AJ3" s="18" t="str">
        <f>'Attendance key'!$B7</f>
        <v>Present</v>
      </c>
      <c r="AK3" s="18" t="str">
        <f>'Attendance key'!$B8</f>
        <v>Off</v>
      </c>
      <c r="AL3" s="18" t="str">
        <f>'Attendance key'!$B9</f>
        <v>Half Day</v>
      </c>
      <c r="AM3" s="19"/>
    </row>
    <row r="4" ht="19.5" customHeight="1">
      <c r="A4" s="20" t="str">
        <f t="shared" ref="A4:A39" si="4">B4&amp;C4&amp;D4</f>
        <v>AkhilCaptainService</v>
      </c>
      <c r="B4" s="21" t="s">
        <v>10</v>
      </c>
      <c r="C4" s="22" t="s">
        <v>11</v>
      </c>
      <c r="D4" s="22" t="s">
        <v>12</v>
      </c>
      <c r="E4" s="23" t="s">
        <v>13</v>
      </c>
      <c r="F4" s="23" t="s">
        <v>13</v>
      </c>
      <c r="G4" s="23" t="s">
        <v>13</v>
      </c>
      <c r="H4" s="23" t="s">
        <v>13</v>
      </c>
      <c r="I4" s="23" t="s">
        <v>13</v>
      </c>
      <c r="J4" s="23" t="s">
        <v>13</v>
      </c>
      <c r="K4" s="23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23" t="s">
        <v>13</v>
      </c>
      <c r="Q4" s="23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23" t="s">
        <v>13</v>
      </c>
      <c r="X4" s="23" t="s">
        <v>13</v>
      </c>
      <c r="Y4" s="23" t="s">
        <v>13</v>
      </c>
      <c r="Z4" s="23" t="s">
        <v>13</v>
      </c>
      <c r="AA4" s="23" t="s">
        <v>13</v>
      </c>
      <c r="AB4" s="23" t="s">
        <v>13</v>
      </c>
      <c r="AC4" s="34" t="s">
        <v>13</v>
      </c>
      <c r="AD4" s="23" t="s">
        <v>13</v>
      </c>
      <c r="AE4" s="23" t="s">
        <v>13</v>
      </c>
      <c r="AF4" s="23" t="s">
        <v>13</v>
      </c>
      <c r="AG4" s="23" t="s">
        <v>13</v>
      </c>
      <c r="AH4" s="23" t="s">
        <v>13</v>
      </c>
      <c r="AI4" s="23" t="s">
        <v>13</v>
      </c>
      <c r="AJ4" s="24">
        <f t="shared" ref="AJ4:AJ37" si="5">if(countif($E4:$AI4,AJ$3)&gt;day(EOMONTH($T$2,0)),"Error",countif($E4:$AI4,AJ$3))</f>
        <v>31</v>
      </c>
      <c r="AK4" s="24">
        <f t="shared" ref="AK4:AL4" si="3">countif($E4:$AI4,AK$3)</f>
        <v>0</v>
      </c>
      <c r="AL4" s="24">
        <f t="shared" si="3"/>
        <v>0</v>
      </c>
      <c r="AM4" s="25">
        <f t="shared" ref="AM4:AM37" si="7"> AJ4 + AK4 +(AL4 / 2)
</f>
        <v>31</v>
      </c>
    </row>
    <row r="5" ht="19.5" customHeight="1">
      <c r="A5" s="20" t="str">
        <f t="shared" si="4"/>
        <v>Laxmi BaiHelperMori</v>
      </c>
      <c r="B5" s="21" t="s">
        <v>14</v>
      </c>
      <c r="C5" s="22" t="s">
        <v>15</v>
      </c>
      <c r="D5" s="22" t="s">
        <v>16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23" t="s">
        <v>13</v>
      </c>
      <c r="Q5" s="23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23" t="s">
        <v>13</v>
      </c>
      <c r="X5" s="23" t="s">
        <v>13</v>
      </c>
      <c r="Y5" s="23" t="s">
        <v>13</v>
      </c>
      <c r="Z5" s="23" t="s">
        <v>13</v>
      </c>
      <c r="AA5" s="23" t="s">
        <v>13</v>
      </c>
      <c r="AB5" s="23" t="s">
        <v>13</v>
      </c>
      <c r="AC5" s="34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5"/>
        <v>31</v>
      </c>
      <c r="AK5" s="24">
        <f t="shared" ref="AK5:AL5" si="6">countif($E5:$AI5,AK$3)</f>
        <v>0</v>
      </c>
      <c r="AL5" s="24">
        <f t="shared" si="6"/>
        <v>0</v>
      </c>
      <c r="AM5" s="25">
        <f t="shared" si="7"/>
        <v>31</v>
      </c>
    </row>
    <row r="6" ht="19.5" customHeight="1">
      <c r="A6" s="20" t="str">
        <f t="shared" si="4"/>
        <v>MoleemChefTandoor</v>
      </c>
      <c r="B6" s="21" t="s">
        <v>17</v>
      </c>
      <c r="C6" s="22" t="s">
        <v>18</v>
      </c>
      <c r="D6" s="22" t="s">
        <v>19</v>
      </c>
      <c r="E6" s="23" t="s">
        <v>13</v>
      </c>
      <c r="F6" s="23" t="s">
        <v>13</v>
      </c>
      <c r="G6" s="23" t="s">
        <v>13</v>
      </c>
      <c r="H6" s="23" t="s">
        <v>13</v>
      </c>
      <c r="I6" s="23" t="s">
        <v>13</v>
      </c>
      <c r="J6" s="23" t="s">
        <v>13</v>
      </c>
      <c r="K6" s="23" t="s">
        <v>13</v>
      </c>
      <c r="L6" s="23" t="s">
        <v>13</v>
      </c>
      <c r="M6" s="23" t="s">
        <v>38</v>
      </c>
      <c r="N6" s="23" t="s">
        <v>38</v>
      </c>
      <c r="O6" s="23" t="s">
        <v>38</v>
      </c>
      <c r="P6" s="23" t="s">
        <v>38</v>
      </c>
      <c r="Q6" s="23" t="s">
        <v>38</v>
      </c>
      <c r="R6" s="23" t="s">
        <v>38</v>
      </c>
      <c r="S6" s="23" t="s">
        <v>38</v>
      </c>
      <c r="T6" s="23" t="s">
        <v>38</v>
      </c>
      <c r="U6" s="23" t="s">
        <v>38</v>
      </c>
      <c r="V6" s="23" t="s">
        <v>38</v>
      </c>
      <c r="W6" s="23" t="s">
        <v>38</v>
      </c>
      <c r="X6" s="23" t="s">
        <v>38</v>
      </c>
      <c r="Y6" s="23" t="s">
        <v>38</v>
      </c>
      <c r="Z6" s="23" t="s">
        <v>38</v>
      </c>
      <c r="AA6" s="23" t="s">
        <v>38</v>
      </c>
      <c r="AB6" s="23" t="s">
        <v>38</v>
      </c>
      <c r="AC6" s="23" t="s">
        <v>38</v>
      </c>
      <c r="AD6" s="23" t="s">
        <v>38</v>
      </c>
      <c r="AE6" s="23" t="s">
        <v>38</v>
      </c>
      <c r="AF6" s="23" t="s">
        <v>38</v>
      </c>
      <c r="AG6" s="23" t="s">
        <v>38</v>
      </c>
      <c r="AH6" s="23" t="s">
        <v>38</v>
      </c>
      <c r="AI6" s="23" t="s">
        <v>38</v>
      </c>
      <c r="AJ6" s="24">
        <f t="shared" si="5"/>
        <v>8</v>
      </c>
      <c r="AK6" s="24">
        <f t="shared" ref="AK6:AL6" si="8">countif($E6:$AI6,AK$3)</f>
        <v>0</v>
      </c>
      <c r="AL6" s="24">
        <f t="shared" si="8"/>
        <v>0</v>
      </c>
      <c r="AM6" s="25">
        <f t="shared" si="7"/>
        <v>8</v>
      </c>
    </row>
    <row r="7" ht="19.5" customHeight="1">
      <c r="A7" s="20" t="str">
        <f t="shared" si="4"/>
        <v>SuhailWaiterService</v>
      </c>
      <c r="B7" s="21" t="s">
        <v>21</v>
      </c>
      <c r="C7" s="22" t="s">
        <v>22</v>
      </c>
      <c r="D7" s="22" t="s">
        <v>12</v>
      </c>
      <c r="E7" s="23" t="s">
        <v>13</v>
      </c>
      <c r="F7" s="23" t="s">
        <v>13</v>
      </c>
      <c r="G7" s="23" t="s">
        <v>13</v>
      </c>
      <c r="H7" s="23" t="s">
        <v>13</v>
      </c>
      <c r="I7" s="23" t="s">
        <v>13</v>
      </c>
      <c r="J7" s="23" t="s">
        <v>13</v>
      </c>
      <c r="K7" s="23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23" t="s">
        <v>13</v>
      </c>
      <c r="Q7" s="23" t="s">
        <v>13</v>
      </c>
      <c r="R7" s="23" t="s">
        <v>13</v>
      </c>
      <c r="S7" s="23" t="s">
        <v>13</v>
      </c>
      <c r="T7" s="23" t="s">
        <v>20</v>
      </c>
      <c r="U7" s="23" t="s">
        <v>13</v>
      </c>
      <c r="V7" s="23" t="s">
        <v>13</v>
      </c>
      <c r="W7" s="23" t="s">
        <v>13</v>
      </c>
      <c r="X7" s="23" t="s">
        <v>13</v>
      </c>
      <c r="Y7" s="23" t="s">
        <v>13</v>
      </c>
      <c r="Z7" s="23" t="s">
        <v>13</v>
      </c>
      <c r="AA7" s="23" t="s">
        <v>13</v>
      </c>
      <c r="AB7" s="23" t="s">
        <v>20</v>
      </c>
      <c r="AC7" s="23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5"/>
        <v>29</v>
      </c>
      <c r="AK7" s="24">
        <f t="shared" ref="AK7:AL7" si="9">countif($E7:$AI7,AK$3)</f>
        <v>2</v>
      </c>
      <c r="AL7" s="24">
        <f t="shared" si="9"/>
        <v>0</v>
      </c>
      <c r="AM7" s="25">
        <f t="shared" si="7"/>
        <v>31</v>
      </c>
    </row>
    <row r="8" ht="19.5" customHeight="1">
      <c r="A8" s="20" t="str">
        <f t="shared" si="4"/>
        <v>WakilHelperMori</v>
      </c>
      <c r="B8" s="21" t="s">
        <v>24</v>
      </c>
      <c r="C8" s="22" t="s">
        <v>15</v>
      </c>
      <c r="D8" s="22" t="s">
        <v>16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23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5"/>
        <v>31</v>
      </c>
      <c r="AK8" s="24">
        <f t="shared" ref="AK8:AL8" si="10">countif($E8:$AI8,AK$3)</f>
        <v>0</v>
      </c>
      <c r="AL8" s="24">
        <f t="shared" si="10"/>
        <v>0</v>
      </c>
      <c r="AM8" s="25">
        <f t="shared" si="7"/>
        <v>31</v>
      </c>
    </row>
    <row r="9" ht="19.5" customHeight="1">
      <c r="A9" s="20" t="str">
        <f t="shared" si="4"/>
        <v>VijayChefTandoor</v>
      </c>
      <c r="B9" s="21" t="s">
        <v>25</v>
      </c>
      <c r="C9" s="22" t="s">
        <v>18</v>
      </c>
      <c r="D9" s="22" t="s">
        <v>19</v>
      </c>
      <c r="E9" s="23" t="s">
        <v>20</v>
      </c>
      <c r="F9" s="23" t="s">
        <v>20</v>
      </c>
      <c r="G9" s="23" t="s">
        <v>13</v>
      </c>
      <c r="H9" s="23" t="s">
        <v>13</v>
      </c>
      <c r="I9" s="23" t="s">
        <v>13</v>
      </c>
      <c r="J9" s="23" t="s">
        <v>13</v>
      </c>
      <c r="K9" s="23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4">
        <f t="shared" si="5"/>
        <v>29</v>
      </c>
      <c r="AK9" s="24">
        <f t="shared" ref="AK9:AL9" si="11">countif($E9:$AI9,AK$3)</f>
        <v>2</v>
      </c>
      <c r="AL9" s="24">
        <f t="shared" si="11"/>
        <v>0</v>
      </c>
      <c r="AM9" s="25">
        <f t="shared" si="7"/>
        <v>31</v>
      </c>
    </row>
    <row r="10" ht="19.5" customHeight="1">
      <c r="A10" s="20" t="str">
        <f t="shared" si="4"/>
        <v>NaseemSupervisorSupervisor</v>
      </c>
      <c r="B10" s="21" t="s">
        <v>26</v>
      </c>
      <c r="C10" s="22" t="s">
        <v>27</v>
      </c>
      <c r="D10" s="22" t="s">
        <v>27</v>
      </c>
      <c r="E10" s="23" t="s">
        <v>13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13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13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 t="s">
        <v>13</v>
      </c>
      <c r="AJ10" s="24">
        <f t="shared" si="5"/>
        <v>31</v>
      </c>
      <c r="AK10" s="24">
        <f t="shared" ref="AK10:AL10" si="12">countif($E10:$AI10,AK$3)</f>
        <v>0</v>
      </c>
      <c r="AL10" s="24">
        <f t="shared" si="12"/>
        <v>0</v>
      </c>
      <c r="AM10" s="25">
        <f t="shared" si="7"/>
        <v>31</v>
      </c>
    </row>
    <row r="11" ht="19.5" customHeight="1">
      <c r="A11" s="20" t="str">
        <f t="shared" si="4"/>
        <v>RajeshCombiTandoor</v>
      </c>
      <c r="B11" s="21" t="s">
        <v>28</v>
      </c>
      <c r="C11" s="22" t="s">
        <v>29</v>
      </c>
      <c r="D11" s="22" t="s">
        <v>19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 t="s">
        <v>13</v>
      </c>
      <c r="AJ11" s="24">
        <f t="shared" si="5"/>
        <v>31</v>
      </c>
      <c r="AK11" s="24">
        <f t="shared" ref="AK11:AL11" si="13">countif($E11:$AI11,AK$3)</f>
        <v>0</v>
      </c>
      <c r="AL11" s="24">
        <f t="shared" si="13"/>
        <v>0</v>
      </c>
      <c r="AM11" s="25">
        <f t="shared" si="7"/>
        <v>31</v>
      </c>
    </row>
    <row r="12" ht="19.5" customHeight="1">
      <c r="A12" s="20" t="str">
        <f t="shared" si="4"/>
        <v>AyubChefTava</v>
      </c>
      <c r="B12" s="21" t="s">
        <v>30</v>
      </c>
      <c r="C12" s="22" t="s">
        <v>18</v>
      </c>
      <c r="D12" s="22" t="s">
        <v>31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23" t="s">
        <v>13</v>
      </c>
      <c r="Q12" s="23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 t="s">
        <v>13</v>
      </c>
      <c r="AJ12" s="24">
        <f t="shared" si="5"/>
        <v>31</v>
      </c>
      <c r="AK12" s="24">
        <f t="shared" ref="AK12:AL12" si="14">countif($E12:$AI12,AK$3)</f>
        <v>0</v>
      </c>
      <c r="AL12" s="24">
        <f t="shared" si="14"/>
        <v>0</v>
      </c>
      <c r="AM12" s="25">
        <f t="shared" si="7"/>
        <v>31</v>
      </c>
    </row>
    <row r="13" ht="19.5" customHeight="1">
      <c r="A13" s="20" t="str">
        <f t="shared" si="4"/>
        <v>AasifChefIndian</v>
      </c>
      <c r="B13" s="21" t="s">
        <v>32</v>
      </c>
      <c r="C13" s="22" t="s">
        <v>18</v>
      </c>
      <c r="D13" s="22" t="s">
        <v>33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  <c r="K13" s="23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 t="s">
        <v>13</v>
      </c>
      <c r="AJ13" s="24">
        <f t="shared" si="5"/>
        <v>31</v>
      </c>
      <c r="AK13" s="24">
        <f t="shared" ref="AK13:AL13" si="15">countif($E13:$AI13,AK$3)</f>
        <v>0</v>
      </c>
      <c r="AL13" s="24">
        <f t="shared" si="15"/>
        <v>0</v>
      </c>
      <c r="AM13" s="25">
        <f t="shared" si="7"/>
        <v>31</v>
      </c>
    </row>
    <row r="14" ht="19.5" customHeight="1">
      <c r="A14" s="20" t="str">
        <f t="shared" si="4"/>
        <v>BaitullaCombiIndian</v>
      </c>
      <c r="B14" s="21" t="s">
        <v>35</v>
      </c>
      <c r="C14" s="22" t="s">
        <v>29</v>
      </c>
      <c r="D14" s="22" t="s">
        <v>33</v>
      </c>
      <c r="E14" s="23" t="s">
        <v>13</v>
      </c>
      <c r="F14" s="23" t="s">
        <v>38</v>
      </c>
      <c r="G14" s="23" t="s">
        <v>38</v>
      </c>
      <c r="H14" s="23" t="s">
        <v>38</v>
      </c>
      <c r="I14" s="23" t="s">
        <v>38</v>
      </c>
      <c r="J14" s="23" t="s">
        <v>38</v>
      </c>
      <c r="K14" s="23" t="s">
        <v>38</v>
      </c>
      <c r="L14" s="23" t="s">
        <v>38</v>
      </c>
      <c r="M14" s="23" t="s">
        <v>38</v>
      </c>
      <c r="N14" s="23" t="s">
        <v>38</v>
      </c>
      <c r="O14" s="23" t="s">
        <v>38</v>
      </c>
      <c r="P14" s="23" t="s">
        <v>38</v>
      </c>
      <c r="Q14" s="23" t="s">
        <v>38</v>
      </c>
      <c r="R14" s="23" t="s">
        <v>38</v>
      </c>
      <c r="S14" s="23" t="s">
        <v>38</v>
      </c>
      <c r="T14" s="23" t="s">
        <v>38</v>
      </c>
      <c r="U14" s="23" t="s">
        <v>38</v>
      </c>
      <c r="V14" s="23" t="s">
        <v>38</v>
      </c>
      <c r="W14" s="23" t="s">
        <v>38</v>
      </c>
      <c r="X14" s="23" t="s">
        <v>38</v>
      </c>
      <c r="Y14" s="23" t="s">
        <v>38</v>
      </c>
      <c r="Z14" s="23" t="s">
        <v>38</v>
      </c>
      <c r="AA14" s="23" t="s">
        <v>38</v>
      </c>
      <c r="AB14" s="23" t="s">
        <v>38</v>
      </c>
      <c r="AC14" s="23" t="s">
        <v>38</v>
      </c>
      <c r="AD14" s="23" t="s">
        <v>38</v>
      </c>
      <c r="AE14" s="23" t="s">
        <v>38</v>
      </c>
      <c r="AF14" s="23" t="s">
        <v>38</v>
      </c>
      <c r="AG14" s="23" t="s">
        <v>38</v>
      </c>
      <c r="AH14" s="23" t="s">
        <v>38</v>
      </c>
      <c r="AI14" s="23" t="s">
        <v>38</v>
      </c>
      <c r="AJ14" s="24">
        <f t="shared" si="5"/>
        <v>1</v>
      </c>
      <c r="AK14" s="24">
        <f t="shared" ref="AK14:AL14" si="16">countif($E14:$AI14,AK$3)</f>
        <v>0</v>
      </c>
      <c r="AL14" s="24">
        <f t="shared" si="16"/>
        <v>0</v>
      </c>
      <c r="AM14" s="25">
        <f t="shared" si="7"/>
        <v>1</v>
      </c>
    </row>
    <row r="15" ht="19.5" customHeight="1">
      <c r="A15" s="20" t="str">
        <f t="shared" si="4"/>
        <v>AbdullahCombiChinese</v>
      </c>
      <c r="B15" s="21" t="s">
        <v>39</v>
      </c>
      <c r="C15" s="22" t="s">
        <v>29</v>
      </c>
      <c r="D15" s="22" t="s">
        <v>40</v>
      </c>
      <c r="E15" s="23" t="s">
        <v>13</v>
      </c>
      <c r="F15" s="23" t="s">
        <v>13</v>
      </c>
      <c r="G15" s="23" t="s">
        <v>20</v>
      </c>
      <c r="H15" s="23" t="s">
        <v>13</v>
      </c>
      <c r="I15" s="23" t="s">
        <v>13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38</v>
      </c>
      <c r="O15" s="23" t="s">
        <v>38</v>
      </c>
      <c r="P15" s="23" t="s">
        <v>38</v>
      </c>
      <c r="Q15" s="23" t="s">
        <v>38</v>
      </c>
      <c r="R15" s="23" t="s">
        <v>38</v>
      </c>
      <c r="S15" s="23" t="s">
        <v>38</v>
      </c>
      <c r="T15" s="23" t="s">
        <v>38</v>
      </c>
      <c r="U15" s="23" t="s">
        <v>38</v>
      </c>
      <c r="V15" s="23" t="s">
        <v>38</v>
      </c>
      <c r="W15" s="23" t="s">
        <v>38</v>
      </c>
      <c r="X15" s="23" t="s">
        <v>38</v>
      </c>
      <c r="Y15" s="23" t="s">
        <v>38</v>
      </c>
      <c r="Z15" s="23" t="s">
        <v>38</v>
      </c>
      <c r="AA15" s="23" t="s">
        <v>38</v>
      </c>
      <c r="AB15" s="23" t="s">
        <v>38</v>
      </c>
      <c r="AC15" s="23" t="s">
        <v>38</v>
      </c>
      <c r="AD15" s="23" t="s">
        <v>38</v>
      </c>
      <c r="AE15" s="23" t="s">
        <v>38</v>
      </c>
      <c r="AF15" s="23" t="s">
        <v>38</v>
      </c>
      <c r="AG15" s="23" t="s">
        <v>38</v>
      </c>
      <c r="AH15" s="23" t="s">
        <v>38</v>
      </c>
      <c r="AI15" s="23" t="s">
        <v>38</v>
      </c>
      <c r="AJ15" s="24">
        <f t="shared" si="5"/>
        <v>8</v>
      </c>
      <c r="AK15" s="24">
        <f t="shared" ref="AK15:AL15" si="17">countif($E15:$AI15,AK$3)</f>
        <v>1</v>
      </c>
      <c r="AL15" s="24">
        <f t="shared" si="17"/>
        <v>0</v>
      </c>
      <c r="AM15" s="25">
        <f t="shared" si="7"/>
        <v>9</v>
      </c>
    </row>
    <row r="16" ht="19.5" customHeight="1">
      <c r="A16" s="20" t="str">
        <f t="shared" si="4"/>
        <v>MujeemHelperIndian</v>
      </c>
      <c r="B16" s="21" t="s">
        <v>41</v>
      </c>
      <c r="C16" s="22" t="s">
        <v>15</v>
      </c>
      <c r="D16" s="22" t="s">
        <v>33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20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20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13</v>
      </c>
      <c r="AJ16" s="24">
        <f t="shared" si="5"/>
        <v>29</v>
      </c>
      <c r="AK16" s="24">
        <f t="shared" ref="AK16:AL16" si="18">countif($E16:$AI16,AK$3)</f>
        <v>2</v>
      </c>
      <c r="AL16" s="24">
        <f t="shared" si="18"/>
        <v>0</v>
      </c>
      <c r="AM16" s="25">
        <f t="shared" si="7"/>
        <v>31</v>
      </c>
    </row>
    <row r="17" ht="19.5" customHeight="1">
      <c r="A17" s="20" t="str">
        <f t="shared" si="4"/>
        <v>SameerBillerService</v>
      </c>
      <c r="B17" s="21" t="s">
        <v>23</v>
      </c>
      <c r="C17" s="22" t="s">
        <v>42</v>
      </c>
      <c r="D17" s="22" t="s">
        <v>12</v>
      </c>
      <c r="E17" s="23" t="s">
        <v>13</v>
      </c>
      <c r="F17" s="23" t="s">
        <v>13</v>
      </c>
      <c r="G17" s="23" t="s">
        <v>20</v>
      </c>
      <c r="H17" s="23" t="s">
        <v>20</v>
      </c>
      <c r="I17" s="23" t="s">
        <v>20</v>
      </c>
      <c r="J17" s="23" t="s">
        <v>20</v>
      </c>
      <c r="K17" s="23" t="s">
        <v>20</v>
      </c>
      <c r="L17" s="23" t="s">
        <v>20</v>
      </c>
      <c r="M17" s="23" t="s">
        <v>20</v>
      </c>
      <c r="N17" s="23" t="s">
        <v>20</v>
      </c>
      <c r="O17" s="23" t="s">
        <v>20</v>
      </c>
      <c r="P17" s="23" t="s">
        <v>20</v>
      </c>
      <c r="Q17" s="23" t="s">
        <v>20</v>
      </c>
      <c r="R17" s="23" t="s">
        <v>20</v>
      </c>
      <c r="S17" s="23" t="s">
        <v>20</v>
      </c>
      <c r="T17" s="23" t="s">
        <v>20</v>
      </c>
      <c r="U17" s="23" t="s">
        <v>20</v>
      </c>
      <c r="V17" s="23" t="s">
        <v>20</v>
      </c>
      <c r="W17" s="23" t="s">
        <v>20</v>
      </c>
      <c r="X17" s="23" t="s">
        <v>20</v>
      </c>
      <c r="Y17" s="23" t="s">
        <v>20</v>
      </c>
      <c r="Z17" s="23" t="s">
        <v>20</v>
      </c>
      <c r="AA17" s="23" t="s">
        <v>20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5"/>
        <v>10</v>
      </c>
      <c r="AK17" s="24">
        <f t="shared" ref="AK17:AL17" si="19">countif($E17:$AI17,AK$3)</f>
        <v>21</v>
      </c>
      <c r="AL17" s="24">
        <f t="shared" si="19"/>
        <v>0</v>
      </c>
      <c r="AM17" s="25">
        <f t="shared" si="7"/>
        <v>31</v>
      </c>
    </row>
    <row r="18" ht="19.5" customHeight="1">
      <c r="A18" s="20" t="str">
        <f t="shared" si="4"/>
        <v>DanishCombiIndian</v>
      </c>
      <c r="B18" s="21" t="s">
        <v>43</v>
      </c>
      <c r="C18" s="22" t="s">
        <v>29</v>
      </c>
      <c r="D18" s="22" t="s">
        <v>33</v>
      </c>
      <c r="E18" s="23" t="s">
        <v>13</v>
      </c>
      <c r="F18" s="23" t="s">
        <v>13</v>
      </c>
      <c r="G18" s="23" t="s">
        <v>13</v>
      </c>
      <c r="H18" s="23" t="s">
        <v>13</v>
      </c>
      <c r="I18" s="23" t="s">
        <v>13</v>
      </c>
      <c r="J18" s="23" t="s">
        <v>13</v>
      </c>
      <c r="K18" s="23" t="s">
        <v>13</v>
      </c>
      <c r="L18" s="23" t="s">
        <v>13</v>
      </c>
      <c r="M18" s="23" t="s">
        <v>20</v>
      </c>
      <c r="N18" s="23" t="s">
        <v>13</v>
      </c>
      <c r="O18" s="23" t="s">
        <v>13</v>
      </c>
      <c r="P18" s="23" t="s">
        <v>13</v>
      </c>
      <c r="Q18" s="23" t="s">
        <v>13</v>
      </c>
      <c r="R18" s="23" t="s">
        <v>13</v>
      </c>
      <c r="S18" s="23" t="s">
        <v>13</v>
      </c>
      <c r="T18" s="23" t="s">
        <v>13</v>
      </c>
      <c r="U18" s="23" t="s">
        <v>13</v>
      </c>
      <c r="V18" s="23" t="s">
        <v>13</v>
      </c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 t="s">
        <v>13</v>
      </c>
      <c r="AJ18" s="24">
        <f t="shared" si="5"/>
        <v>30</v>
      </c>
      <c r="AK18" s="24">
        <f t="shared" ref="AK18:AL18" si="20">countif($E18:$AI18,AK$3)</f>
        <v>1</v>
      </c>
      <c r="AL18" s="24">
        <f t="shared" si="20"/>
        <v>0</v>
      </c>
      <c r="AM18" s="25">
        <f t="shared" si="7"/>
        <v>31</v>
      </c>
    </row>
    <row r="19" ht="19.5" customHeight="1">
      <c r="A19" s="20" t="str">
        <f t="shared" si="4"/>
        <v>IrfanChefChinese</v>
      </c>
      <c r="B19" s="21" t="s">
        <v>44</v>
      </c>
      <c r="C19" s="22" t="s">
        <v>18</v>
      </c>
      <c r="D19" s="22" t="s">
        <v>40</v>
      </c>
      <c r="E19" s="23" t="s">
        <v>13</v>
      </c>
      <c r="F19" s="23" t="s">
        <v>13</v>
      </c>
      <c r="G19" s="23" t="s">
        <v>13</v>
      </c>
      <c r="H19" s="23" t="s">
        <v>13</v>
      </c>
      <c r="I19" s="23" t="s">
        <v>20</v>
      </c>
      <c r="J19" s="23" t="s">
        <v>13</v>
      </c>
      <c r="K19" s="23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20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5"/>
        <v>29</v>
      </c>
      <c r="AK19" s="24">
        <f t="shared" ref="AK19:AL19" si="21">countif($E19:$AI19,AK$3)</f>
        <v>2</v>
      </c>
      <c r="AL19" s="24">
        <f t="shared" si="21"/>
        <v>0</v>
      </c>
      <c r="AM19" s="25">
        <f t="shared" si="7"/>
        <v>31</v>
      </c>
    </row>
    <row r="20" ht="19.5" customHeight="1">
      <c r="A20" s="20" t="str">
        <f t="shared" si="4"/>
        <v>SantoshWaiterService</v>
      </c>
      <c r="B20" s="21" t="s">
        <v>47</v>
      </c>
      <c r="C20" s="22" t="s">
        <v>22</v>
      </c>
      <c r="D20" s="22" t="s">
        <v>12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20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3" t="s">
        <v>13</v>
      </c>
      <c r="AJ20" s="24">
        <f t="shared" si="5"/>
        <v>18</v>
      </c>
      <c r="AK20" s="24">
        <f t="shared" ref="AK20:AL20" si="22">countif($E20:$AI20,AK$3)</f>
        <v>1</v>
      </c>
      <c r="AL20" s="24">
        <f t="shared" si="22"/>
        <v>0</v>
      </c>
      <c r="AM20" s="25">
        <f t="shared" si="7"/>
        <v>19</v>
      </c>
    </row>
    <row r="21" ht="19.5" customHeight="1">
      <c r="A21" s="20" t="str">
        <f t="shared" si="4"/>
        <v>KhenyaHelperMori</v>
      </c>
      <c r="B21" s="21" t="s">
        <v>48</v>
      </c>
      <c r="C21" s="22" t="s">
        <v>15</v>
      </c>
      <c r="D21" s="22" t="s">
        <v>16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 t="s">
        <v>13</v>
      </c>
      <c r="U21" s="23" t="s">
        <v>13</v>
      </c>
      <c r="V21" s="23" t="s">
        <v>13</v>
      </c>
      <c r="W21" s="23" t="s">
        <v>13</v>
      </c>
      <c r="X21" s="23" t="s">
        <v>13</v>
      </c>
      <c r="Y21" s="23" t="s">
        <v>13</v>
      </c>
      <c r="Z21" s="23" t="s">
        <v>13</v>
      </c>
      <c r="AA21" s="23" t="s">
        <v>13</v>
      </c>
      <c r="AB21" s="23" t="s">
        <v>13</v>
      </c>
      <c r="AC21" s="23" t="s">
        <v>13</v>
      </c>
      <c r="AD21" s="23" t="s">
        <v>13</v>
      </c>
      <c r="AE21" s="23" t="s">
        <v>13</v>
      </c>
      <c r="AF21" s="23" t="s">
        <v>13</v>
      </c>
      <c r="AG21" s="23" t="s">
        <v>13</v>
      </c>
      <c r="AH21" s="23" t="s">
        <v>13</v>
      </c>
      <c r="AI21" s="23" t="s">
        <v>13</v>
      </c>
      <c r="AJ21" s="24">
        <f t="shared" si="5"/>
        <v>16</v>
      </c>
      <c r="AK21" s="24">
        <f t="shared" ref="AK21:AL21" si="23">countif($E21:$AI21,AK$3)</f>
        <v>0</v>
      </c>
      <c r="AL21" s="24">
        <f t="shared" si="23"/>
        <v>0</v>
      </c>
      <c r="AM21" s="25">
        <f t="shared" si="7"/>
        <v>16</v>
      </c>
    </row>
    <row r="22" ht="19.5" customHeight="1">
      <c r="A22" s="20" t="str">
        <f t="shared" si="4"/>
        <v/>
      </c>
      <c r="B22" s="27"/>
      <c r="C22" s="26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5"/>
        <v>0</v>
      </c>
      <c r="AK22" s="24">
        <f t="shared" ref="AK22:AL22" si="24">countif($E22:$AI22,AK$3)</f>
        <v>0</v>
      </c>
      <c r="AL22" s="24">
        <f t="shared" si="24"/>
        <v>0</v>
      </c>
      <c r="AM22" s="25">
        <f t="shared" si="7"/>
        <v>0</v>
      </c>
    </row>
    <row r="23" ht="19.5" customHeight="1">
      <c r="A23" s="20" t="str">
        <f t="shared" si="4"/>
        <v/>
      </c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5"/>
        <v>0</v>
      </c>
      <c r="AK23" s="24">
        <f t="shared" ref="AK23:AL23" si="25">countif($E23:$AI23,AK$3)</f>
        <v>0</v>
      </c>
      <c r="AL23" s="24">
        <f t="shared" si="25"/>
        <v>0</v>
      </c>
      <c r="AM23" s="25">
        <f t="shared" si="7"/>
        <v>0</v>
      </c>
    </row>
    <row r="24" ht="19.5" customHeight="1">
      <c r="A24" s="20" t="str">
        <f t="shared" si="4"/>
        <v/>
      </c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5"/>
        <v>0</v>
      </c>
      <c r="AK24" s="24">
        <f t="shared" ref="AK24:AL24" si="26">countif($E24:$AI24,AK$3)</f>
        <v>0</v>
      </c>
      <c r="AL24" s="24">
        <f t="shared" si="26"/>
        <v>0</v>
      </c>
      <c r="AM24" s="25">
        <f t="shared" si="7"/>
        <v>0</v>
      </c>
    </row>
    <row r="25" ht="19.5" customHeight="1">
      <c r="A25" s="20" t="str">
        <f t="shared" si="4"/>
        <v/>
      </c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5"/>
        <v>0</v>
      </c>
      <c r="AK25" s="24">
        <f t="shared" ref="AK25:AL25" si="27">countif($E25:$AI25,AK$3)</f>
        <v>0</v>
      </c>
      <c r="AL25" s="24">
        <f t="shared" si="27"/>
        <v>0</v>
      </c>
      <c r="AM25" s="25">
        <f t="shared" si="7"/>
        <v>0</v>
      </c>
    </row>
    <row r="26" ht="19.5" customHeight="1">
      <c r="A26" s="20" t="str">
        <f t="shared" si="4"/>
        <v/>
      </c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5"/>
        <v>0</v>
      </c>
      <c r="AK26" s="24">
        <f t="shared" ref="AK26:AL26" si="28">countif($E26:$AI26,AK$3)</f>
        <v>0</v>
      </c>
      <c r="AL26" s="24">
        <f t="shared" si="28"/>
        <v>0</v>
      </c>
      <c r="AM26" s="25">
        <f t="shared" si="7"/>
        <v>0</v>
      </c>
    </row>
    <row r="27" ht="19.5" customHeight="1">
      <c r="A27" s="20" t="str">
        <f t="shared" si="4"/>
        <v/>
      </c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5"/>
        <v>0</v>
      </c>
      <c r="AK27" s="24">
        <f t="shared" ref="AK27:AL27" si="29">countif($E27:$AI27,AK$3)</f>
        <v>0</v>
      </c>
      <c r="AL27" s="24">
        <f t="shared" si="29"/>
        <v>0</v>
      </c>
      <c r="AM27" s="25">
        <f t="shared" si="7"/>
        <v>0</v>
      </c>
    </row>
    <row r="28" ht="19.5" customHeight="1">
      <c r="A28" s="20" t="str">
        <f t="shared" si="4"/>
        <v/>
      </c>
      <c r="B28" s="27"/>
      <c r="C28" s="26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>
        <f t="shared" si="5"/>
        <v>0</v>
      </c>
      <c r="AK28" s="24">
        <f t="shared" ref="AK28:AL28" si="30">countif($E28:$AI28,AK$3)</f>
        <v>0</v>
      </c>
      <c r="AL28" s="24">
        <f t="shared" si="30"/>
        <v>0</v>
      </c>
      <c r="AM28" s="25">
        <f t="shared" si="7"/>
        <v>0</v>
      </c>
    </row>
    <row r="29" ht="19.5" customHeight="1">
      <c r="A29" s="20" t="str">
        <f t="shared" si="4"/>
        <v/>
      </c>
      <c r="B29" s="27"/>
      <c r="C29" s="26"/>
      <c r="D29" s="26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>
        <f t="shared" si="5"/>
        <v>0</v>
      </c>
      <c r="AK29" s="24">
        <f t="shared" ref="AK29:AL29" si="31">countif($E29:$AI29,AK$3)</f>
        <v>0</v>
      </c>
      <c r="AL29" s="24">
        <f t="shared" si="31"/>
        <v>0</v>
      </c>
      <c r="AM29" s="25">
        <f t="shared" si="7"/>
        <v>0</v>
      </c>
    </row>
    <row r="30" ht="19.5" customHeight="1">
      <c r="A30" s="20" t="str">
        <f t="shared" si="4"/>
        <v/>
      </c>
      <c r="B30" s="27"/>
      <c r="C30" s="26"/>
      <c r="D30" s="26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>
        <f t="shared" si="5"/>
        <v>0</v>
      </c>
      <c r="AK30" s="24">
        <f t="shared" ref="AK30:AL30" si="32">countif($E30:$AI30,AK$3)</f>
        <v>0</v>
      </c>
      <c r="AL30" s="24">
        <f t="shared" si="32"/>
        <v>0</v>
      </c>
      <c r="AM30" s="25">
        <f t="shared" si="7"/>
        <v>0</v>
      </c>
    </row>
    <row r="31" ht="19.5" customHeight="1">
      <c r="A31" s="20" t="str">
        <f t="shared" si="4"/>
        <v/>
      </c>
      <c r="B31" s="27"/>
      <c r="C31" s="26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>
        <f t="shared" si="5"/>
        <v>0</v>
      </c>
      <c r="AK31" s="24">
        <f t="shared" ref="AK31:AL31" si="33">countif($E31:$AI31,AK$3)</f>
        <v>0</v>
      </c>
      <c r="AL31" s="24">
        <f t="shared" si="33"/>
        <v>0</v>
      </c>
      <c r="AM31" s="25">
        <f t="shared" si="7"/>
        <v>0</v>
      </c>
    </row>
    <row r="32" ht="19.5" customHeight="1">
      <c r="A32" s="20" t="str">
        <f t="shared" si="4"/>
        <v/>
      </c>
      <c r="B32" s="27"/>
      <c r="C32" s="26"/>
      <c r="D32" s="26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>
        <f t="shared" si="5"/>
        <v>0</v>
      </c>
      <c r="AK32" s="24">
        <f t="shared" ref="AK32:AL32" si="34">countif($E32:$AI32,AK$3)</f>
        <v>0</v>
      </c>
      <c r="AL32" s="24">
        <f t="shared" si="34"/>
        <v>0</v>
      </c>
      <c r="AM32" s="25">
        <f t="shared" si="7"/>
        <v>0</v>
      </c>
    </row>
    <row r="33" ht="19.5" customHeight="1">
      <c r="A33" s="20" t="str">
        <f t="shared" si="4"/>
        <v/>
      </c>
      <c r="B33" s="27"/>
      <c r="C33" s="26"/>
      <c r="D33" s="2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>
        <f t="shared" si="5"/>
        <v>0</v>
      </c>
      <c r="AK33" s="24">
        <f t="shared" ref="AK33:AL33" si="35">countif($E33:$AI33,AK$3)</f>
        <v>0</v>
      </c>
      <c r="AL33" s="24">
        <f t="shared" si="35"/>
        <v>0</v>
      </c>
      <c r="AM33" s="25">
        <f t="shared" si="7"/>
        <v>0</v>
      </c>
    </row>
    <row r="34" ht="19.5" customHeight="1">
      <c r="A34" s="20" t="str">
        <f t="shared" si="4"/>
        <v/>
      </c>
      <c r="B34" s="27"/>
      <c r="C34" s="26"/>
      <c r="D34" s="2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>
        <f t="shared" si="5"/>
        <v>0</v>
      </c>
      <c r="AK34" s="24">
        <f t="shared" ref="AK34:AL34" si="36">countif($E34:$AI34,AK$3)</f>
        <v>0</v>
      </c>
      <c r="AL34" s="24">
        <f t="shared" si="36"/>
        <v>0</v>
      </c>
      <c r="AM34" s="25">
        <f t="shared" si="7"/>
        <v>0</v>
      </c>
    </row>
    <row r="35" ht="19.5" customHeight="1">
      <c r="A35" s="20" t="str">
        <f t="shared" si="4"/>
        <v/>
      </c>
      <c r="B35" s="27"/>
      <c r="C35" s="26"/>
      <c r="D35" s="2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4">
        <f t="shared" si="5"/>
        <v>0</v>
      </c>
      <c r="AK35" s="24">
        <f t="shared" ref="AK35:AL35" si="37">countif($E35:$AI35,AK$3)</f>
        <v>0</v>
      </c>
      <c r="AL35" s="24">
        <f t="shared" si="37"/>
        <v>0</v>
      </c>
      <c r="AM35" s="25">
        <f t="shared" si="7"/>
        <v>0</v>
      </c>
    </row>
    <row r="36" ht="19.5" customHeight="1">
      <c r="A36" s="20" t="str">
        <f t="shared" si="4"/>
        <v/>
      </c>
      <c r="B36" s="27"/>
      <c r="C36" s="26"/>
      <c r="D36" s="26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4">
        <f t="shared" si="5"/>
        <v>0</v>
      </c>
      <c r="AK36" s="24">
        <f t="shared" ref="AK36:AL36" si="38">countif($E36:$AI36,AK$3)</f>
        <v>0</v>
      </c>
      <c r="AL36" s="24">
        <f t="shared" si="38"/>
        <v>0</v>
      </c>
      <c r="AM36" s="25">
        <f t="shared" si="7"/>
        <v>0</v>
      </c>
    </row>
    <row r="37" ht="19.5" customHeight="1">
      <c r="A37" s="20" t="str">
        <f t="shared" si="4"/>
        <v/>
      </c>
      <c r="B37" s="27"/>
      <c r="C37" s="26"/>
      <c r="D37" s="26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4">
        <f t="shared" si="5"/>
        <v>0</v>
      </c>
      <c r="AK37" s="24">
        <f t="shared" ref="AK37:AL37" si="39">countif($E37:$AI37,AK$3)</f>
        <v>0</v>
      </c>
      <c r="AL37" s="24">
        <f t="shared" si="39"/>
        <v>0</v>
      </c>
      <c r="AM37" s="25">
        <f t="shared" si="7"/>
        <v>0</v>
      </c>
    </row>
    <row r="38" ht="19.5" customHeight="1">
      <c r="A38" s="20" t="str">
        <f t="shared" si="4"/>
        <v/>
      </c>
      <c r="B38" s="29"/>
      <c r="C38" s="28"/>
      <c r="D38" s="28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1">
        <f t="shared" ref="AK38:AM38" si="40">countif($E38:$Y38,AK$3)</f>
        <v>0</v>
      </c>
      <c r="AL38" s="32">
        <f t="shared" si="40"/>
        <v>0</v>
      </c>
      <c r="AM38" s="33">
        <f t="shared" si="40"/>
        <v>0</v>
      </c>
    </row>
    <row r="39" ht="19.5" customHeight="1">
      <c r="A39" s="20" t="str">
        <f t="shared" si="4"/>
        <v/>
      </c>
    </row>
    <row r="40" ht="19.5" hidden="1" customHeight="1">
      <c r="A40" s="28"/>
    </row>
  </sheetData>
  <mergeCells count="1">
    <mergeCell ref="E1:U1"/>
  </mergeCells>
  <dataValidations>
    <dataValidation type="list" allowBlank="1" showErrorMessage="1" sqref="E4:AI37 E38:AJ38">
      <formula1>"Present,Off,Half Day,Left"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12.88"/>
    <col customWidth="1" min="6" max="36" width="6.13"/>
    <col customWidth="1" min="37" max="37" width="10.88"/>
    <col customWidth="1" min="38" max="40" width="9.38"/>
  </cols>
  <sheetData>
    <row r="1" ht="3.0" customHeight="1">
      <c r="A1" s="5"/>
      <c r="B1" s="5"/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ht="26.25" customHeight="1">
      <c r="A2" s="9"/>
      <c r="B2" s="35" t="s">
        <v>5</v>
      </c>
      <c r="C2" s="35"/>
      <c r="D2" s="35"/>
      <c r="E2" s="11">
        <v>45658.0</v>
      </c>
      <c r="F2" s="12">
        <f t="shared" ref="F2:AI2" si="1">IF(MONTH(E2+1)=MONTH(EOMONTH($E$2,0)),E2+1,"")</f>
        <v>45659</v>
      </c>
      <c r="G2" s="12">
        <f t="shared" si="1"/>
        <v>45660</v>
      </c>
      <c r="H2" s="12">
        <f t="shared" si="1"/>
        <v>45661</v>
      </c>
      <c r="I2" s="12">
        <f t="shared" si="1"/>
        <v>45662</v>
      </c>
      <c r="J2" s="12">
        <f t="shared" si="1"/>
        <v>45663</v>
      </c>
      <c r="K2" s="12">
        <f t="shared" si="1"/>
        <v>45664</v>
      </c>
      <c r="L2" s="12">
        <f t="shared" si="1"/>
        <v>45665</v>
      </c>
      <c r="M2" s="12">
        <f t="shared" si="1"/>
        <v>45666</v>
      </c>
      <c r="N2" s="12">
        <f t="shared" si="1"/>
        <v>45667</v>
      </c>
      <c r="O2" s="12">
        <f t="shared" si="1"/>
        <v>45668</v>
      </c>
      <c r="P2" s="12">
        <f t="shared" si="1"/>
        <v>45669</v>
      </c>
      <c r="Q2" s="12">
        <f t="shared" si="1"/>
        <v>45670</v>
      </c>
      <c r="R2" s="12">
        <f t="shared" si="1"/>
        <v>45671</v>
      </c>
      <c r="S2" s="12">
        <f t="shared" si="1"/>
        <v>45672</v>
      </c>
      <c r="T2" s="12">
        <f t="shared" si="1"/>
        <v>45673</v>
      </c>
      <c r="U2" s="12">
        <f t="shared" si="1"/>
        <v>45674</v>
      </c>
      <c r="V2" s="12">
        <f t="shared" si="1"/>
        <v>45675</v>
      </c>
      <c r="W2" s="12">
        <f t="shared" si="1"/>
        <v>45676</v>
      </c>
      <c r="X2" s="12">
        <f t="shared" si="1"/>
        <v>45677</v>
      </c>
      <c r="Y2" s="12">
        <f t="shared" si="1"/>
        <v>45678</v>
      </c>
      <c r="Z2" s="12">
        <f t="shared" si="1"/>
        <v>45679</v>
      </c>
      <c r="AA2" s="12">
        <f t="shared" si="1"/>
        <v>45680</v>
      </c>
      <c r="AB2" s="12">
        <f t="shared" si="1"/>
        <v>45681</v>
      </c>
      <c r="AC2" s="12">
        <f t="shared" si="1"/>
        <v>45682</v>
      </c>
      <c r="AD2" s="12">
        <f t="shared" si="1"/>
        <v>45683</v>
      </c>
      <c r="AE2" s="12">
        <f t="shared" si="1"/>
        <v>45684</v>
      </c>
      <c r="AF2" s="12">
        <f t="shared" si="1"/>
        <v>45685</v>
      </c>
      <c r="AG2" s="12">
        <f t="shared" si="1"/>
        <v>45686</v>
      </c>
      <c r="AH2" s="12">
        <f t="shared" si="1"/>
        <v>45687</v>
      </c>
      <c r="AI2" s="12">
        <f t="shared" si="1"/>
        <v>45688</v>
      </c>
      <c r="AJ2" s="13" t="str">
        <f>'Attendance key'!$C7</f>
        <v>Present</v>
      </c>
      <c r="AK2" s="13" t="str">
        <f>'Attendance key'!$C8</f>
        <v>Leave</v>
      </c>
      <c r="AL2" s="13" t="str">
        <f>'Attendance key'!$C9</f>
        <v>Half Day</v>
      </c>
      <c r="AM2" s="14" t="s">
        <v>6</v>
      </c>
      <c r="AN2" s="36" t="s">
        <v>49</v>
      </c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45658</v>
      </c>
      <c r="F3" s="17">
        <f t="shared" si="2"/>
        <v>45659</v>
      </c>
      <c r="G3" s="17">
        <f t="shared" si="2"/>
        <v>45660</v>
      </c>
      <c r="H3" s="17">
        <f t="shared" si="2"/>
        <v>45661</v>
      </c>
      <c r="I3" s="17">
        <f t="shared" si="2"/>
        <v>45662</v>
      </c>
      <c r="J3" s="17">
        <f t="shared" si="2"/>
        <v>45663</v>
      </c>
      <c r="K3" s="17">
        <f t="shared" si="2"/>
        <v>45664</v>
      </c>
      <c r="L3" s="17">
        <f t="shared" si="2"/>
        <v>45665</v>
      </c>
      <c r="M3" s="17">
        <f t="shared" si="2"/>
        <v>45666</v>
      </c>
      <c r="N3" s="17">
        <f t="shared" si="2"/>
        <v>45667</v>
      </c>
      <c r="O3" s="17">
        <f t="shared" si="2"/>
        <v>45668</v>
      </c>
      <c r="P3" s="17">
        <f t="shared" si="2"/>
        <v>45669</v>
      </c>
      <c r="Q3" s="17">
        <f t="shared" si="2"/>
        <v>45670</v>
      </c>
      <c r="R3" s="17">
        <f t="shared" si="2"/>
        <v>45671</v>
      </c>
      <c r="S3" s="17">
        <f t="shared" si="2"/>
        <v>45672</v>
      </c>
      <c r="T3" s="17">
        <f t="shared" si="2"/>
        <v>45673</v>
      </c>
      <c r="U3" s="17">
        <f t="shared" si="2"/>
        <v>45674</v>
      </c>
      <c r="V3" s="17">
        <f t="shared" si="2"/>
        <v>45675</v>
      </c>
      <c r="W3" s="17">
        <f t="shared" si="2"/>
        <v>45676</v>
      </c>
      <c r="X3" s="17">
        <f t="shared" si="2"/>
        <v>45677</v>
      </c>
      <c r="Y3" s="17">
        <f t="shared" si="2"/>
        <v>45678</v>
      </c>
      <c r="Z3" s="17">
        <f t="shared" si="2"/>
        <v>45679</v>
      </c>
      <c r="AA3" s="17">
        <f t="shared" si="2"/>
        <v>45680</v>
      </c>
      <c r="AB3" s="17">
        <f t="shared" si="2"/>
        <v>45681</v>
      </c>
      <c r="AC3" s="17">
        <f t="shared" si="2"/>
        <v>45682</v>
      </c>
      <c r="AD3" s="17">
        <f t="shared" si="2"/>
        <v>45683</v>
      </c>
      <c r="AE3" s="17">
        <f t="shared" si="2"/>
        <v>45684</v>
      </c>
      <c r="AF3" s="17">
        <f t="shared" si="2"/>
        <v>45685</v>
      </c>
      <c r="AG3" s="17">
        <f t="shared" si="2"/>
        <v>45686</v>
      </c>
      <c r="AH3" s="17">
        <f t="shared" si="2"/>
        <v>45687</v>
      </c>
      <c r="AI3" s="17">
        <f t="shared" si="2"/>
        <v>45688</v>
      </c>
      <c r="AJ3" s="18" t="str">
        <f>'Attendance key'!$B7</f>
        <v>Present</v>
      </c>
      <c r="AK3" s="18" t="str">
        <f>'Attendance key'!$B8</f>
        <v>Off</v>
      </c>
      <c r="AL3" s="18" t="str">
        <f>'Attendance key'!$B9</f>
        <v>Half Day</v>
      </c>
      <c r="AM3" s="19"/>
      <c r="AN3" s="37"/>
    </row>
    <row r="4" ht="19.5" customHeight="1">
      <c r="A4" s="38" t="str">
        <f t="shared" ref="A4:A18" si="3">B4&amp;C4&amp;D4</f>
        <v>AkhilCaptainService</v>
      </c>
      <c r="B4" s="39" t="s">
        <v>10</v>
      </c>
      <c r="C4" s="40" t="s">
        <v>11</v>
      </c>
      <c r="D4" s="40" t="s">
        <v>12</v>
      </c>
      <c r="E4" s="41" t="s">
        <v>13</v>
      </c>
      <c r="F4" s="41" t="s">
        <v>13</v>
      </c>
      <c r="G4" s="41" t="s">
        <v>13</v>
      </c>
      <c r="H4" s="41" t="s">
        <v>13</v>
      </c>
      <c r="I4" s="41" t="s">
        <v>13</v>
      </c>
      <c r="J4" s="41" t="s">
        <v>13</v>
      </c>
      <c r="K4" s="41" t="s">
        <v>13</v>
      </c>
      <c r="L4" s="41" t="s">
        <v>13</v>
      </c>
      <c r="M4" s="41" t="s">
        <v>13</v>
      </c>
      <c r="N4" s="41" t="s">
        <v>13</v>
      </c>
      <c r="O4" s="41" t="s">
        <v>13</v>
      </c>
      <c r="P4" s="41" t="s">
        <v>13</v>
      </c>
      <c r="Q4" s="41" t="s">
        <v>13</v>
      </c>
      <c r="R4" s="41" t="s">
        <v>13</v>
      </c>
      <c r="S4" s="41" t="s">
        <v>13</v>
      </c>
      <c r="T4" s="41" t="s">
        <v>13</v>
      </c>
      <c r="U4" s="41" t="s">
        <v>13</v>
      </c>
      <c r="V4" s="41" t="s">
        <v>13</v>
      </c>
      <c r="W4" s="41" t="s">
        <v>13</v>
      </c>
      <c r="X4" s="41" t="s">
        <v>13</v>
      </c>
      <c r="Y4" s="41" t="s">
        <v>13</v>
      </c>
      <c r="Z4" s="41" t="s">
        <v>13</v>
      </c>
      <c r="AA4" s="41" t="s">
        <v>38</v>
      </c>
      <c r="AB4" s="41" t="s">
        <v>38</v>
      </c>
      <c r="AC4" s="42" t="s">
        <v>38</v>
      </c>
      <c r="AD4" s="41" t="s">
        <v>38</v>
      </c>
      <c r="AE4" s="41" t="s">
        <v>38</v>
      </c>
      <c r="AF4" s="41" t="s">
        <v>38</v>
      </c>
      <c r="AG4" s="41" t="s">
        <v>38</v>
      </c>
      <c r="AH4" s="41" t="s">
        <v>38</v>
      </c>
      <c r="AI4" s="41" t="s">
        <v>38</v>
      </c>
      <c r="AJ4" s="43">
        <f t="shared" ref="AJ4:AJ34" si="4">if(countif($E4:$AI4,AJ$3)&gt;day(EOMONTH($T$2,0)),"Error",countif($E4:$AI4,AJ$3))</f>
        <v>22</v>
      </c>
      <c r="AK4" s="43">
        <f t="shared" ref="AK4:AK35" si="5">countif($E4:$AF4,AK$3)+(sum(AL4)/2)</f>
        <v>0</v>
      </c>
      <c r="AL4" s="43">
        <f>value(countif($E4:$AI4,AL$3))</f>
        <v>0</v>
      </c>
      <c r="AM4" s="44">
        <f t="shared" ref="AM4:AM34" si="6"> AJ4 + AK4 +(AL4 / 2)
</f>
        <v>22</v>
      </c>
      <c r="AN4" s="44"/>
    </row>
    <row r="5" ht="19.5" customHeight="1">
      <c r="A5" s="45" t="str">
        <f t="shared" si="3"/>
        <v>Laxmi BaiHelperMori</v>
      </c>
      <c r="B5" s="46" t="s">
        <v>14</v>
      </c>
      <c r="C5" s="47" t="s">
        <v>15</v>
      </c>
      <c r="D5" s="47" t="s">
        <v>16</v>
      </c>
      <c r="E5" s="48" t="s">
        <v>13</v>
      </c>
      <c r="F5" s="48" t="s">
        <v>13</v>
      </c>
      <c r="G5" s="48" t="s">
        <v>13</v>
      </c>
      <c r="H5" s="48" t="s">
        <v>13</v>
      </c>
      <c r="I5" s="48" t="s">
        <v>13</v>
      </c>
      <c r="J5" s="48" t="s">
        <v>13</v>
      </c>
      <c r="K5" s="48" t="s">
        <v>13</v>
      </c>
      <c r="L5" s="48" t="s">
        <v>13</v>
      </c>
      <c r="M5" s="48" t="s">
        <v>13</v>
      </c>
      <c r="N5" s="48" t="s">
        <v>13</v>
      </c>
      <c r="O5" s="48" t="s">
        <v>13</v>
      </c>
      <c r="P5" s="48" t="s">
        <v>13</v>
      </c>
      <c r="Q5" s="48" t="s">
        <v>13</v>
      </c>
      <c r="R5" s="48" t="s">
        <v>13</v>
      </c>
      <c r="S5" s="48" t="s">
        <v>13</v>
      </c>
      <c r="T5" s="48" t="s">
        <v>13</v>
      </c>
      <c r="U5" s="48" t="s">
        <v>13</v>
      </c>
      <c r="V5" s="48" t="s">
        <v>13</v>
      </c>
      <c r="W5" s="48" t="s">
        <v>13</v>
      </c>
      <c r="X5" s="48" t="s">
        <v>13</v>
      </c>
      <c r="Y5" s="48" t="s">
        <v>13</v>
      </c>
      <c r="Z5" s="48" t="s">
        <v>13</v>
      </c>
      <c r="AA5" s="48" t="s">
        <v>13</v>
      </c>
      <c r="AB5" s="48" t="s">
        <v>13</v>
      </c>
      <c r="AC5" s="49" t="s">
        <v>13</v>
      </c>
      <c r="AD5" s="48" t="s">
        <v>13</v>
      </c>
      <c r="AE5" s="48" t="s">
        <v>13</v>
      </c>
      <c r="AF5" s="48" t="s">
        <v>13</v>
      </c>
      <c r="AG5" s="48" t="s">
        <v>13</v>
      </c>
      <c r="AH5" s="48" t="s">
        <v>13</v>
      </c>
      <c r="AI5" s="48" t="s">
        <v>13</v>
      </c>
      <c r="AJ5" s="50">
        <f t="shared" si="4"/>
        <v>31</v>
      </c>
      <c r="AK5" s="50">
        <f t="shared" si="5"/>
        <v>0</v>
      </c>
      <c r="AL5" s="50">
        <f t="shared" ref="AL5:AL34" si="7">countif($E5:$AI5,AL$3)</f>
        <v>0</v>
      </c>
      <c r="AM5" s="51">
        <f t="shared" si="6"/>
        <v>31</v>
      </c>
      <c r="AN5" s="52">
        <v>6000.0</v>
      </c>
    </row>
    <row r="6" ht="19.5" customHeight="1">
      <c r="A6" s="38" t="str">
        <f t="shared" si="3"/>
        <v>SuhailWaiterService</v>
      </c>
      <c r="B6" s="39" t="s">
        <v>21</v>
      </c>
      <c r="C6" s="40" t="s">
        <v>22</v>
      </c>
      <c r="D6" s="40" t="s">
        <v>12</v>
      </c>
      <c r="E6" s="41" t="s">
        <v>13</v>
      </c>
      <c r="F6" s="41" t="s">
        <v>13</v>
      </c>
      <c r="G6" s="41" t="s">
        <v>13</v>
      </c>
      <c r="H6" s="41" t="s">
        <v>13</v>
      </c>
      <c r="I6" s="41" t="s">
        <v>13</v>
      </c>
      <c r="J6" s="41" t="s">
        <v>13</v>
      </c>
      <c r="K6" s="41" t="s">
        <v>13</v>
      </c>
      <c r="L6" s="41" t="s">
        <v>13</v>
      </c>
      <c r="M6" s="41" t="s">
        <v>13</v>
      </c>
      <c r="N6" s="41" t="s">
        <v>13</v>
      </c>
      <c r="O6" s="41" t="s">
        <v>13</v>
      </c>
      <c r="P6" s="41" t="s">
        <v>13</v>
      </c>
      <c r="Q6" s="41" t="s">
        <v>20</v>
      </c>
      <c r="R6" s="41" t="s">
        <v>13</v>
      </c>
      <c r="S6" s="41" t="s">
        <v>13</v>
      </c>
      <c r="T6" s="41" t="s">
        <v>13</v>
      </c>
      <c r="U6" s="41" t="s">
        <v>13</v>
      </c>
      <c r="V6" s="41" t="s">
        <v>13</v>
      </c>
      <c r="W6" s="41" t="s">
        <v>13</v>
      </c>
      <c r="X6" s="41" t="s">
        <v>13</v>
      </c>
      <c r="Y6" s="41" t="s">
        <v>20</v>
      </c>
      <c r="Z6" s="41" t="s">
        <v>13</v>
      </c>
      <c r="AA6" s="41" t="s">
        <v>13</v>
      </c>
      <c r="AB6" s="41" t="s">
        <v>13</v>
      </c>
      <c r="AC6" s="41" t="s">
        <v>13</v>
      </c>
      <c r="AD6" s="41" t="s">
        <v>13</v>
      </c>
      <c r="AE6" s="41" t="s">
        <v>13</v>
      </c>
      <c r="AF6" s="41" t="s">
        <v>13</v>
      </c>
      <c r="AG6" s="41" t="s">
        <v>13</v>
      </c>
      <c r="AH6" s="41" t="s">
        <v>13</v>
      </c>
      <c r="AI6" s="41" t="s">
        <v>13</v>
      </c>
      <c r="AJ6" s="43">
        <f t="shared" si="4"/>
        <v>29</v>
      </c>
      <c r="AK6" s="43">
        <f t="shared" si="5"/>
        <v>2</v>
      </c>
      <c r="AL6" s="43">
        <f t="shared" si="7"/>
        <v>0</v>
      </c>
      <c r="AM6" s="44">
        <f t="shared" si="6"/>
        <v>31</v>
      </c>
      <c r="AN6" s="44"/>
    </row>
    <row r="7" ht="19.5" customHeight="1">
      <c r="A7" s="45" t="str">
        <f t="shared" si="3"/>
        <v>WakilHelperMori</v>
      </c>
      <c r="B7" s="53" t="s">
        <v>24</v>
      </c>
      <c r="C7" s="47" t="s">
        <v>15</v>
      </c>
      <c r="D7" s="47" t="s">
        <v>16</v>
      </c>
      <c r="E7" s="48" t="s">
        <v>13</v>
      </c>
      <c r="F7" s="48" t="s">
        <v>13</v>
      </c>
      <c r="G7" s="48" t="s">
        <v>13</v>
      </c>
      <c r="H7" s="48" t="s">
        <v>13</v>
      </c>
      <c r="I7" s="48" t="s">
        <v>13</v>
      </c>
      <c r="J7" s="48" t="s">
        <v>13</v>
      </c>
      <c r="K7" s="48" t="s">
        <v>13</v>
      </c>
      <c r="L7" s="48" t="s">
        <v>13</v>
      </c>
      <c r="M7" s="48" t="s">
        <v>20</v>
      </c>
      <c r="N7" s="48" t="s">
        <v>13</v>
      </c>
      <c r="O7" s="48" t="s">
        <v>13</v>
      </c>
      <c r="P7" s="48" t="s">
        <v>13</v>
      </c>
      <c r="Q7" s="48" t="s">
        <v>13</v>
      </c>
      <c r="R7" s="48" t="s">
        <v>20</v>
      </c>
      <c r="S7" s="48" t="s">
        <v>13</v>
      </c>
      <c r="T7" s="48" t="s">
        <v>13</v>
      </c>
      <c r="U7" s="48" t="s">
        <v>13</v>
      </c>
      <c r="V7" s="48" t="s">
        <v>13</v>
      </c>
      <c r="W7" s="48" t="s">
        <v>13</v>
      </c>
      <c r="X7" s="48" t="s">
        <v>13</v>
      </c>
      <c r="Y7" s="48" t="s">
        <v>13</v>
      </c>
      <c r="Z7" s="48" t="s">
        <v>13</v>
      </c>
      <c r="AA7" s="48" t="s">
        <v>13</v>
      </c>
      <c r="AB7" s="48" t="s">
        <v>13</v>
      </c>
      <c r="AC7" s="48" t="s">
        <v>13</v>
      </c>
      <c r="AD7" s="48" t="s">
        <v>13</v>
      </c>
      <c r="AE7" s="48" t="s">
        <v>13</v>
      </c>
      <c r="AF7" s="48" t="s">
        <v>13</v>
      </c>
      <c r="AG7" s="48" t="s">
        <v>13</v>
      </c>
      <c r="AH7" s="48" t="s">
        <v>13</v>
      </c>
      <c r="AI7" s="48" t="s">
        <v>13</v>
      </c>
      <c r="AJ7" s="50">
        <f t="shared" si="4"/>
        <v>29</v>
      </c>
      <c r="AK7" s="50">
        <f t="shared" si="5"/>
        <v>2</v>
      </c>
      <c r="AL7" s="50">
        <f t="shared" si="7"/>
        <v>0</v>
      </c>
      <c r="AM7" s="51">
        <f t="shared" si="6"/>
        <v>31</v>
      </c>
      <c r="AN7" s="51"/>
    </row>
    <row r="8" ht="19.5" customHeight="1">
      <c r="A8" s="38" t="str">
        <f t="shared" si="3"/>
        <v>VijayChefTandoor</v>
      </c>
      <c r="B8" s="39" t="s">
        <v>25</v>
      </c>
      <c r="C8" s="40" t="s">
        <v>18</v>
      </c>
      <c r="D8" s="40" t="s">
        <v>19</v>
      </c>
      <c r="E8" s="41" t="s">
        <v>13</v>
      </c>
      <c r="F8" s="41" t="s">
        <v>13</v>
      </c>
      <c r="G8" s="41" t="s">
        <v>13</v>
      </c>
      <c r="H8" s="41" t="s">
        <v>13</v>
      </c>
      <c r="I8" s="41" t="s">
        <v>13</v>
      </c>
      <c r="J8" s="41" t="s">
        <v>34</v>
      </c>
      <c r="K8" s="41" t="s">
        <v>13</v>
      </c>
      <c r="L8" s="41" t="s">
        <v>13</v>
      </c>
      <c r="M8" s="41" t="s">
        <v>13</v>
      </c>
      <c r="N8" s="41" t="s">
        <v>13</v>
      </c>
      <c r="O8" s="41" t="s">
        <v>13</v>
      </c>
      <c r="P8" s="41" t="s">
        <v>13</v>
      </c>
      <c r="Q8" s="41" t="s">
        <v>34</v>
      </c>
      <c r="R8" s="41" t="s">
        <v>13</v>
      </c>
      <c r="S8" s="41" t="s">
        <v>13</v>
      </c>
      <c r="T8" s="41" t="s">
        <v>13</v>
      </c>
      <c r="U8" s="41" t="s">
        <v>13</v>
      </c>
      <c r="V8" s="41" t="s">
        <v>13</v>
      </c>
      <c r="W8" s="41" t="s">
        <v>13</v>
      </c>
      <c r="X8" s="41" t="s">
        <v>34</v>
      </c>
      <c r="Y8" s="41" t="s">
        <v>34</v>
      </c>
      <c r="Z8" s="41" t="s">
        <v>13</v>
      </c>
      <c r="AA8" s="41" t="s">
        <v>13</v>
      </c>
      <c r="AB8" s="41" t="s">
        <v>13</v>
      </c>
      <c r="AC8" s="41" t="s">
        <v>13</v>
      </c>
      <c r="AD8" s="41" t="s">
        <v>13</v>
      </c>
      <c r="AE8" s="41" t="s">
        <v>13</v>
      </c>
      <c r="AF8" s="41" t="s">
        <v>13</v>
      </c>
      <c r="AG8" s="41" t="s">
        <v>13</v>
      </c>
      <c r="AH8" s="41" t="s">
        <v>13</v>
      </c>
      <c r="AI8" s="41" t="s">
        <v>13</v>
      </c>
      <c r="AJ8" s="43">
        <f t="shared" si="4"/>
        <v>27</v>
      </c>
      <c r="AK8" s="43">
        <f t="shared" si="5"/>
        <v>2</v>
      </c>
      <c r="AL8" s="43">
        <f t="shared" si="7"/>
        <v>4</v>
      </c>
      <c r="AM8" s="44">
        <f t="shared" si="6"/>
        <v>31</v>
      </c>
      <c r="AN8" s="44"/>
    </row>
    <row r="9" ht="19.5" customHeight="1">
      <c r="A9" s="45" t="str">
        <f t="shared" si="3"/>
        <v>NaseemSupervisorSupervisor</v>
      </c>
      <c r="B9" s="46" t="s">
        <v>26</v>
      </c>
      <c r="C9" s="47" t="s">
        <v>27</v>
      </c>
      <c r="D9" s="47" t="s">
        <v>27</v>
      </c>
      <c r="E9" s="48" t="s">
        <v>13</v>
      </c>
      <c r="F9" s="48" t="s">
        <v>13</v>
      </c>
      <c r="G9" s="48" t="s">
        <v>13</v>
      </c>
      <c r="H9" s="48" t="s">
        <v>13</v>
      </c>
      <c r="I9" s="48" t="s">
        <v>13</v>
      </c>
      <c r="J9" s="48" t="s">
        <v>13</v>
      </c>
      <c r="K9" s="48" t="s">
        <v>13</v>
      </c>
      <c r="L9" s="48" t="s">
        <v>13</v>
      </c>
      <c r="M9" s="48" t="s">
        <v>13</v>
      </c>
      <c r="N9" s="48" t="s">
        <v>13</v>
      </c>
      <c r="O9" s="48" t="s">
        <v>13</v>
      </c>
      <c r="P9" s="48" t="s">
        <v>13</v>
      </c>
      <c r="Q9" s="48" t="s">
        <v>13</v>
      </c>
      <c r="R9" s="48" t="s">
        <v>13</v>
      </c>
      <c r="S9" s="48" t="s">
        <v>13</v>
      </c>
      <c r="T9" s="48" t="s">
        <v>13</v>
      </c>
      <c r="U9" s="48" t="s">
        <v>13</v>
      </c>
      <c r="V9" s="48" t="s">
        <v>13</v>
      </c>
      <c r="W9" s="48" t="s">
        <v>13</v>
      </c>
      <c r="X9" s="48" t="s">
        <v>13</v>
      </c>
      <c r="Y9" s="48" t="s">
        <v>13</v>
      </c>
      <c r="Z9" s="48" t="s">
        <v>13</v>
      </c>
      <c r="AA9" s="48" t="s">
        <v>13</v>
      </c>
      <c r="AB9" s="48" t="s">
        <v>13</v>
      </c>
      <c r="AC9" s="48" t="s">
        <v>13</v>
      </c>
      <c r="AD9" s="48" t="s">
        <v>13</v>
      </c>
      <c r="AE9" s="48" t="s">
        <v>13</v>
      </c>
      <c r="AF9" s="48" t="s">
        <v>13</v>
      </c>
      <c r="AG9" s="48" t="s">
        <v>13</v>
      </c>
      <c r="AH9" s="48" t="s">
        <v>13</v>
      </c>
      <c r="AI9" s="48" t="s">
        <v>13</v>
      </c>
      <c r="AJ9" s="50">
        <f t="shared" si="4"/>
        <v>31</v>
      </c>
      <c r="AK9" s="50">
        <f t="shared" si="5"/>
        <v>0</v>
      </c>
      <c r="AL9" s="50">
        <f t="shared" si="7"/>
        <v>0</v>
      </c>
      <c r="AM9" s="51">
        <f t="shared" si="6"/>
        <v>31</v>
      </c>
      <c r="AN9" s="51"/>
    </row>
    <row r="10" ht="19.5" customHeight="1">
      <c r="A10" s="38" t="str">
        <f t="shared" si="3"/>
        <v>RajeshCombiTandoor</v>
      </c>
      <c r="B10" s="54" t="s">
        <v>28</v>
      </c>
      <c r="C10" s="40" t="s">
        <v>29</v>
      </c>
      <c r="D10" s="40" t="s">
        <v>19</v>
      </c>
      <c r="E10" s="41" t="s">
        <v>13</v>
      </c>
      <c r="F10" s="41" t="s">
        <v>13</v>
      </c>
      <c r="G10" s="41" t="s">
        <v>13</v>
      </c>
      <c r="H10" s="41" t="s">
        <v>13</v>
      </c>
      <c r="I10" s="41" t="s">
        <v>13</v>
      </c>
      <c r="J10" s="41" t="s">
        <v>20</v>
      </c>
      <c r="K10" s="41" t="s">
        <v>13</v>
      </c>
      <c r="L10" s="41" t="s">
        <v>13</v>
      </c>
      <c r="M10" s="41" t="s">
        <v>13</v>
      </c>
      <c r="N10" s="41" t="s">
        <v>13</v>
      </c>
      <c r="O10" s="41" t="s">
        <v>13</v>
      </c>
      <c r="P10" s="41" t="s">
        <v>13</v>
      </c>
      <c r="Q10" s="41" t="s">
        <v>13</v>
      </c>
      <c r="R10" s="41" t="s">
        <v>13</v>
      </c>
      <c r="S10" s="41" t="s">
        <v>13</v>
      </c>
      <c r="T10" s="41" t="s">
        <v>13</v>
      </c>
      <c r="U10" s="41" t="s">
        <v>13</v>
      </c>
      <c r="V10" s="41" t="s">
        <v>13</v>
      </c>
      <c r="W10" s="41" t="s">
        <v>13</v>
      </c>
      <c r="X10" s="41" t="s">
        <v>13</v>
      </c>
      <c r="Y10" s="41" t="s">
        <v>13</v>
      </c>
      <c r="Z10" s="41" t="s">
        <v>13</v>
      </c>
      <c r="AA10" s="41" t="s">
        <v>13</v>
      </c>
      <c r="AB10" s="41" t="s">
        <v>20</v>
      </c>
      <c r="AC10" s="41" t="s">
        <v>13</v>
      </c>
      <c r="AD10" s="41" t="s">
        <v>13</v>
      </c>
      <c r="AE10" s="41" t="s">
        <v>13</v>
      </c>
      <c r="AF10" s="41" t="s">
        <v>13</v>
      </c>
      <c r="AG10" s="41" t="s">
        <v>13</v>
      </c>
      <c r="AH10" s="41" t="s">
        <v>13</v>
      </c>
      <c r="AI10" s="41" t="s">
        <v>13</v>
      </c>
      <c r="AJ10" s="43">
        <f t="shared" si="4"/>
        <v>29</v>
      </c>
      <c r="AK10" s="43">
        <f t="shared" si="5"/>
        <v>2</v>
      </c>
      <c r="AL10" s="43">
        <f t="shared" si="7"/>
        <v>0</v>
      </c>
      <c r="AM10" s="44">
        <f t="shared" si="6"/>
        <v>31</v>
      </c>
      <c r="AN10" s="55">
        <v>7000.0</v>
      </c>
    </row>
    <row r="11" ht="19.5" customHeight="1">
      <c r="A11" s="45" t="str">
        <f t="shared" si="3"/>
        <v>AyubChefTava</v>
      </c>
      <c r="B11" s="46" t="s">
        <v>30</v>
      </c>
      <c r="C11" s="47" t="s">
        <v>18</v>
      </c>
      <c r="D11" s="47" t="s">
        <v>31</v>
      </c>
      <c r="E11" s="48" t="s">
        <v>13</v>
      </c>
      <c r="F11" s="48" t="s">
        <v>13</v>
      </c>
      <c r="G11" s="48" t="s">
        <v>13</v>
      </c>
      <c r="H11" s="48" t="s">
        <v>13</v>
      </c>
      <c r="I11" s="48" t="s">
        <v>13</v>
      </c>
      <c r="J11" s="48" t="s">
        <v>13</v>
      </c>
      <c r="K11" s="48" t="s">
        <v>13</v>
      </c>
      <c r="L11" s="48" t="s">
        <v>13</v>
      </c>
      <c r="M11" s="48" t="s">
        <v>13</v>
      </c>
      <c r="N11" s="48" t="s">
        <v>13</v>
      </c>
      <c r="O11" s="48" t="s">
        <v>13</v>
      </c>
      <c r="P11" s="48" t="s">
        <v>13</v>
      </c>
      <c r="Q11" s="48" t="s">
        <v>13</v>
      </c>
      <c r="R11" s="48" t="s">
        <v>13</v>
      </c>
      <c r="S11" s="48" t="s">
        <v>13</v>
      </c>
      <c r="T11" s="48" t="s">
        <v>13</v>
      </c>
      <c r="U11" s="48" t="s">
        <v>13</v>
      </c>
      <c r="V11" s="48" t="s">
        <v>13</v>
      </c>
      <c r="W11" s="48" t="s">
        <v>13</v>
      </c>
      <c r="X11" s="48" t="s">
        <v>13</v>
      </c>
      <c r="Y11" s="48" t="s">
        <v>13</v>
      </c>
      <c r="Z11" s="48" t="s">
        <v>13</v>
      </c>
      <c r="AA11" s="48" t="s">
        <v>13</v>
      </c>
      <c r="AB11" s="48" t="s">
        <v>13</v>
      </c>
      <c r="AC11" s="48" t="s">
        <v>13</v>
      </c>
      <c r="AD11" s="48" t="s">
        <v>13</v>
      </c>
      <c r="AE11" s="48" t="s">
        <v>13</v>
      </c>
      <c r="AF11" s="48" t="s">
        <v>13</v>
      </c>
      <c r="AG11" s="48" t="s">
        <v>13</v>
      </c>
      <c r="AH11" s="48" t="s">
        <v>13</v>
      </c>
      <c r="AI11" s="48" t="s">
        <v>13</v>
      </c>
      <c r="AJ11" s="50">
        <f t="shared" si="4"/>
        <v>31</v>
      </c>
      <c r="AK11" s="50">
        <f t="shared" si="5"/>
        <v>0</v>
      </c>
      <c r="AL11" s="50">
        <f t="shared" si="7"/>
        <v>0</v>
      </c>
      <c r="AM11" s="51">
        <f t="shared" si="6"/>
        <v>31</v>
      </c>
      <c r="AN11" s="52">
        <v>500.0</v>
      </c>
    </row>
    <row r="12" ht="19.5" customHeight="1">
      <c r="A12" s="38" t="str">
        <f t="shared" si="3"/>
        <v>AasifChefIndian</v>
      </c>
      <c r="B12" s="39" t="s">
        <v>32</v>
      </c>
      <c r="C12" s="40" t="s">
        <v>18</v>
      </c>
      <c r="D12" s="40" t="s">
        <v>33</v>
      </c>
      <c r="E12" s="41" t="s">
        <v>13</v>
      </c>
      <c r="F12" s="41" t="s">
        <v>13</v>
      </c>
      <c r="G12" s="41" t="s">
        <v>13</v>
      </c>
      <c r="H12" s="41" t="s">
        <v>13</v>
      </c>
      <c r="I12" s="41" t="s">
        <v>13</v>
      </c>
      <c r="J12" s="41" t="s">
        <v>13</v>
      </c>
      <c r="K12" s="41" t="s">
        <v>13</v>
      </c>
      <c r="L12" s="41" t="s">
        <v>13</v>
      </c>
      <c r="M12" s="41" t="s">
        <v>13</v>
      </c>
      <c r="N12" s="41" t="s">
        <v>13</v>
      </c>
      <c r="O12" s="41" t="s">
        <v>13</v>
      </c>
      <c r="P12" s="41" t="s">
        <v>13</v>
      </c>
      <c r="Q12" s="41" t="s">
        <v>13</v>
      </c>
      <c r="R12" s="41" t="s">
        <v>13</v>
      </c>
      <c r="S12" s="41" t="s">
        <v>13</v>
      </c>
      <c r="T12" s="41" t="s">
        <v>13</v>
      </c>
      <c r="U12" s="41" t="s">
        <v>13</v>
      </c>
      <c r="V12" s="41" t="s">
        <v>13</v>
      </c>
      <c r="W12" s="41" t="s">
        <v>13</v>
      </c>
      <c r="X12" s="41" t="s">
        <v>13</v>
      </c>
      <c r="Y12" s="41" t="s">
        <v>13</v>
      </c>
      <c r="Z12" s="41" t="s">
        <v>13</v>
      </c>
      <c r="AA12" s="41" t="s">
        <v>13</v>
      </c>
      <c r="AB12" s="41" t="s">
        <v>13</v>
      </c>
      <c r="AC12" s="41" t="s">
        <v>13</v>
      </c>
      <c r="AD12" s="41" t="s">
        <v>13</v>
      </c>
      <c r="AE12" s="41" t="s">
        <v>13</v>
      </c>
      <c r="AF12" s="41" t="s">
        <v>13</v>
      </c>
      <c r="AG12" s="41" t="s">
        <v>13</v>
      </c>
      <c r="AH12" s="41" t="s">
        <v>13</v>
      </c>
      <c r="AI12" s="41" t="s">
        <v>13</v>
      </c>
      <c r="AJ12" s="43">
        <f t="shared" si="4"/>
        <v>31</v>
      </c>
      <c r="AK12" s="43">
        <f t="shared" si="5"/>
        <v>0</v>
      </c>
      <c r="AL12" s="43">
        <f t="shared" si="7"/>
        <v>0</v>
      </c>
      <c r="AM12" s="44">
        <f t="shared" si="6"/>
        <v>31</v>
      </c>
      <c r="AN12" s="44"/>
    </row>
    <row r="13" ht="19.5" customHeight="1">
      <c r="A13" s="45" t="str">
        <f t="shared" si="3"/>
        <v>MujeemHelperIndian</v>
      </c>
      <c r="B13" s="53" t="s">
        <v>41</v>
      </c>
      <c r="C13" s="47" t="s">
        <v>15</v>
      </c>
      <c r="D13" s="47" t="s">
        <v>33</v>
      </c>
      <c r="E13" s="48" t="s">
        <v>13</v>
      </c>
      <c r="F13" s="48" t="s">
        <v>13</v>
      </c>
      <c r="G13" s="48" t="s">
        <v>13</v>
      </c>
      <c r="H13" s="48" t="s">
        <v>13</v>
      </c>
      <c r="I13" s="48" t="s">
        <v>13</v>
      </c>
      <c r="J13" s="48" t="s">
        <v>13</v>
      </c>
      <c r="K13" s="48" t="s">
        <v>20</v>
      </c>
      <c r="L13" s="48" t="s">
        <v>13</v>
      </c>
      <c r="M13" s="48" t="s">
        <v>13</v>
      </c>
      <c r="N13" s="48" t="s">
        <v>13</v>
      </c>
      <c r="O13" s="48" t="s">
        <v>13</v>
      </c>
      <c r="P13" s="48" t="s">
        <v>13</v>
      </c>
      <c r="Q13" s="48" t="s">
        <v>13</v>
      </c>
      <c r="R13" s="48" t="s">
        <v>13</v>
      </c>
      <c r="S13" s="48" t="s">
        <v>13</v>
      </c>
      <c r="T13" s="48" t="s">
        <v>13</v>
      </c>
      <c r="U13" s="48" t="s">
        <v>13</v>
      </c>
      <c r="V13" s="48" t="s">
        <v>13</v>
      </c>
      <c r="W13" s="48" t="s">
        <v>13</v>
      </c>
      <c r="X13" s="48" t="s">
        <v>13</v>
      </c>
      <c r="Y13" s="48" t="s">
        <v>20</v>
      </c>
      <c r="Z13" s="48" t="s">
        <v>13</v>
      </c>
      <c r="AA13" s="48" t="s">
        <v>13</v>
      </c>
      <c r="AB13" s="48" t="s">
        <v>13</v>
      </c>
      <c r="AC13" s="48" t="s">
        <v>13</v>
      </c>
      <c r="AD13" s="48" t="s">
        <v>13</v>
      </c>
      <c r="AE13" s="48" t="s">
        <v>13</v>
      </c>
      <c r="AF13" s="48" t="s">
        <v>13</v>
      </c>
      <c r="AG13" s="48" t="s">
        <v>13</v>
      </c>
      <c r="AH13" s="48" t="s">
        <v>13</v>
      </c>
      <c r="AI13" s="48" t="s">
        <v>13</v>
      </c>
      <c r="AJ13" s="50">
        <f t="shared" si="4"/>
        <v>29</v>
      </c>
      <c r="AK13" s="50">
        <f t="shared" si="5"/>
        <v>2</v>
      </c>
      <c r="AL13" s="50">
        <f t="shared" si="7"/>
        <v>0</v>
      </c>
      <c r="AM13" s="51">
        <f t="shared" si="6"/>
        <v>31</v>
      </c>
      <c r="AN13" s="52">
        <v>1000.0</v>
      </c>
    </row>
    <row r="14" ht="19.5" customHeight="1">
      <c r="A14" s="38" t="str">
        <f t="shared" si="3"/>
        <v>SameerBillerService</v>
      </c>
      <c r="B14" s="39" t="s">
        <v>23</v>
      </c>
      <c r="C14" s="40" t="s">
        <v>42</v>
      </c>
      <c r="D14" s="40" t="s">
        <v>12</v>
      </c>
      <c r="E14" s="41" t="s">
        <v>13</v>
      </c>
      <c r="F14" s="41" t="s">
        <v>13</v>
      </c>
      <c r="G14" s="41" t="s">
        <v>13</v>
      </c>
      <c r="H14" s="41" t="s">
        <v>13</v>
      </c>
      <c r="I14" s="41" t="s">
        <v>13</v>
      </c>
      <c r="J14" s="41" t="s">
        <v>20</v>
      </c>
      <c r="K14" s="41" t="s">
        <v>13</v>
      </c>
      <c r="L14" s="41" t="s">
        <v>13</v>
      </c>
      <c r="M14" s="41" t="s">
        <v>13</v>
      </c>
      <c r="N14" s="41" t="s">
        <v>13</v>
      </c>
      <c r="O14" s="41" t="s">
        <v>13</v>
      </c>
      <c r="P14" s="41" t="s">
        <v>13</v>
      </c>
      <c r="Q14" s="41" t="s">
        <v>13</v>
      </c>
      <c r="R14" s="41" t="s">
        <v>13</v>
      </c>
      <c r="S14" s="41" t="s">
        <v>13</v>
      </c>
      <c r="T14" s="41" t="s">
        <v>13</v>
      </c>
      <c r="U14" s="41" t="s">
        <v>13</v>
      </c>
      <c r="V14" s="41" t="s">
        <v>13</v>
      </c>
      <c r="W14" s="41" t="s">
        <v>13</v>
      </c>
      <c r="X14" s="41" t="s">
        <v>20</v>
      </c>
      <c r="Y14" s="41" t="s">
        <v>13</v>
      </c>
      <c r="Z14" s="41" t="s">
        <v>13</v>
      </c>
      <c r="AA14" s="41" t="s">
        <v>13</v>
      </c>
      <c r="AB14" s="41" t="s">
        <v>13</v>
      </c>
      <c r="AC14" s="41" t="s">
        <v>13</v>
      </c>
      <c r="AD14" s="41" t="s">
        <v>13</v>
      </c>
      <c r="AE14" s="41" t="s">
        <v>13</v>
      </c>
      <c r="AF14" s="41" t="s">
        <v>13</v>
      </c>
      <c r="AG14" s="41" t="s">
        <v>13</v>
      </c>
      <c r="AH14" s="41" t="s">
        <v>13</v>
      </c>
      <c r="AI14" s="41" t="s">
        <v>13</v>
      </c>
      <c r="AJ14" s="43">
        <f t="shared" si="4"/>
        <v>29</v>
      </c>
      <c r="AK14" s="43">
        <f t="shared" si="5"/>
        <v>2</v>
      </c>
      <c r="AL14" s="43">
        <f t="shared" si="7"/>
        <v>0</v>
      </c>
      <c r="AM14" s="44">
        <f t="shared" si="6"/>
        <v>31</v>
      </c>
      <c r="AN14" s="55">
        <v>10000.0</v>
      </c>
    </row>
    <row r="15" ht="19.5" customHeight="1">
      <c r="A15" s="45" t="str">
        <f t="shared" si="3"/>
        <v>DanishCombiIndian</v>
      </c>
      <c r="B15" s="46" t="s">
        <v>43</v>
      </c>
      <c r="C15" s="47" t="s">
        <v>29</v>
      </c>
      <c r="D15" s="47" t="s">
        <v>33</v>
      </c>
      <c r="E15" s="48" t="s">
        <v>13</v>
      </c>
      <c r="F15" s="48" t="s">
        <v>13</v>
      </c>
      <c r="G15" s="48" t="s">
        <v>13</v>
      </c>
      <c r="H15" s="48" t="s">
        <v>13</v>
      </c>
      <c r="I15" s="48" t="s">
        <v>13</v>
      </c>
      <c r="J15" s="48" t="s">
        <v>13</v>
      </c>
      <c r="K15" s="48" t="s">
        <v>13</v>
      </c>
      <c r="L15" s="48" t="s">
        <v>13</v>
      </c>
      <c r="M15" s="48" t="s">
        <v>13</v>
      </c>
      <c r="N15" s="48" t="s">
        <v>13</v>
      </c>
      <c r="O15" s="48" t="s">
        <v>13</v>
      </c>
      <c r="P15" s="48" t="s">
        <v>13</v>
      </c>
      <c r="Q15" s="48" t="s">
        <v>13</v>
      </c>
      <c r="R15" s="48" t="s">
        <v>13</v>
      </c>
      <c r="S15" s="48" t="s">
        <v>13</v>
      </c>
      <c r="T15" s="48" t="s">
        <v>13</v>
      </c>
      <c r="U15" s="48" t="s">
        <v>13</v>
      </c>
      <c r="V15" s="48" t="s">
        <v>13</v>
      </c>
      <c r="W15" s="48" t="s">
        <v>13</v>
      </c>
      <c r="X15" s="48" t="s">
        <v>13</v>
      </c>
      <c r="Y15" s="48" t="s">
        <v>13</v>
      </c>
      <c r="Z15" s="48" t="s">
        <v>13</v>
      </c>
      <c r="AA15" s="48" t="s">
        <v>13</v>
      </c>
      <c r="AB15" s="48" t="s">
        <v>13</v>
      </c>
      <c r="AC15" s="48" t="s">
        <v>13</v>
      </c>
      <c r="AD15" s="48" t="s">
        <v>13</v>
      </c>
      <c r="AE15" s="48" t="s">
        <v>34</v>
      </c>
      <c r="AF15" s="48" t="s">
        <v>13</v>
      </c>
      <c r="AG15" s="48" t="s">
        <v>13</v>
      </c>
      <c r="AH15" s="48" t="s">
        <v>13</v>
      </c>
      <c r="AI15" s="48" t="s">
        <v>13</v>
      </c>
      <c r="AJ15" s="50">
        <f t="shared" si="4"/>
        <v>30</v>
      </c>
      <c r="AK15" s="50">
        <f t="shared" si="5"/>
        <v>0.5</v>
      </c>
      <c r="AL15" s="50">
        <f t="shared" si="7"/>
        <v>1</v>
      </c>
      <c r="AM15" s="51">
        <f t="shared" si="6"/>
        <v>31</v>
      </c>
      <c r="AN15" s="52">
        <v>3500.0</v>
      </c>
    </row>
    <row r="16" ht="19.5" customHeight="1">
      <c r="A16" s="38" t="str">
        <f t="shared" si="3"/>
        <v>IrfanChefChinese</v>
      </c>
      <c r="B16" s="54" t="s">
        <v>44</v>
      </c>
      <c r="C16" s="40" t="s">
        <v>18</v>
      </c>
      <c r="D16" s="40" t="s">
        <v>40</v>
      </c>
      <c r="E16" s="41" t="s">
        <v>13</v>
      </c>
      <c r="F16" s="41" t="s">
        <v>13</v>
      </c>
      <c r="G16" s="41" t="s">
        <v>13</v>
      </c>
      <c r="H16" s="41" t="s">
        <v>13</v>
      </c>
      <c r="I16" s="41" t="s">
        <v>13</v>
      </c>
      <c r="J16" s="41" t="s">
        <v>13</v>
      </c>
      <c r="K16" s="41" t="s">
        <v>13</v>
      </c>
      <c r="L16" s="41" t="s">
        <v>13</v>
      </c>
      <c r="M16" s="41" t="s">
        <v>13</v>
      </c>
      <c r="N16" s="41" t="s">
        <v>13</v>
      </c>
      <c r="O16" s="41" t="s">
        <v>13</v>
      </c>
      <c r="P16" s="41" t="s">
        <v>13</v>
      </c>
      <c r="Q16" s="41" t="s">
        <v>13</v>
      </c>
      <c r="R16" s="41" t="s">
        <v>13</v>
      </c>
      <c r="S16" s="41" t="s">
        <v>13</v>
      </c>
      <c r="T16" s="41" t="s">
        <v>13</v>
      </c>
      <c r="U16" s="41" t="s">
        <v>13</v>
      </c>
      <c r="V16" s="41" t="s">
        <v>13</v>
      </c>
      <c r="W16" s="41" t="s">
        <v>13</v>
      </c>
      <c r="X16" s="41" t="s">
        <v>20</v>
      </c>
      <c r="Y16" s="41" t="s">
        <v>13</v>
      </c>
      <c r="Z16" s="41" t="s">
        <v>13</v>
      </c>
      <c r="AA16" s="41" t="s">
        <v>13</v>
      </c>
      <c r="AB16" s="41" t="s">
        <v>13</v>
      </c>
      <c r="AC16" s="41" t="s">
        <v>13</v>
      </c>
      <c r="AD16" s="41" t="s">
        <v>13</v>
      </c>
      <c r="AE16" s="41" t="s">
        <v>13</v>
      </c>
      <c r="AF16" s="41" t="s">
        <v>13</v>
      </c>
      <c r="AG16" s="41" t="s">
        <v>13</v>
      </c>
      <c r="AH16" s="41" t="s">
        <v>13</v>
      </c>
      <c r="AI16" s="41" t="s">
        <v>13</v>
      </c>
      <c r="AJ16" s="43">
        <f t="shared" si="4"/>
        <v>30</v>
      </c>
      <c r="AK16" s="43">
        <f t="shared" si="5"/>
        <v>1</v>
      </c>
      <c r="AL16" s="43">
        <f t="shared" si="7"/>
        <v>0</v>
      </c>
      <c r="AM16" s="44">
        <f t="shared" si="6"/>
        <v>31</v>
      </c>
      <c r="AN16" s="55">
        <v>1000.0</v>
      </c>
    </row>
    <row r="17" ht="19.5" customHeight="1">
      <c r="A17" s="45" t="str">
        <f t="shared" si="3"/>
        <v>SantoshWaiterService</v>
      </c>
      <c r="B17" s="46" t="s">
        <v>47</v>
      </c>
      <c r="C17" s="47" t="s">
        <v>22</v>
      </c>
      <c r="D17" s="47" t="s">
        <v>12</v>
      </c>
      <c r="E17" s="48" t="s">
        <v>20</v>
      </c>
      <c r="F17" s="48" t="s">
        <v>13</v>
      </c>
      <c r="G17" s="48" t="s">
        <v>13</v>
      </c>
      <c r="H17" s="48" t="s">
        <v>13</v>
      </c>
      <c r="I17" s="48" t="s">
        <v>13</v>
      </c>
      <c r="J17" s="48" t="s">
        <v>13</v>
      </c>
      <c r="K17" s="48" t="s">
        <v>13</v>
      </c>
      <c r="L17" s="48" t="s">
        <v>13</v>
      </c>
      <c r="M17" s="48" t="s">
        <v>20</v>
      </c>
      <c r="N17" s="48" t="s">
        <v>13</v>
      </c>
      <c r="O17" s="48" t="s">
        <v>13</v>
      </c>
      <c r="P17" s="48" t="s">
        <v>13</v>
      </c>
      <c r="Q17" s="48" t="s">
        <v>13</v>
      </c>
      <c r="R17" s="48" t="s">
        <v>13</v>
      </c>
      <c r="S17" s="48" t="s">
        <v>13</v>
      </c>
      <c r="T17" s="48" t="s">
        <v>13</v>
      </c>
      <c r="U17" s="48" t="s">
        <v>13</v>
      </c>
      <c r="V17" s="48" t="s">
        <v>13</v>
      </c>
      <c r="W17" s="48" t="s">
        <v>20</v>
      </c>
      <c r="X17" s="48" t="s">
        <v>20</v>
      </c>
      <c r="Y17" s="48" t="s">
        <v>13</v>
      </c>
      <c r="Z17" s="48" t="s">
        <v>13</v>
      </c>
      <c r="AA17" s="48" t="s">
        <v>13</v>
      </c>
      <c r="AB17" s="48" t="s">
        <v>13</v>
      </c>
      <c r="AC17" s="48" t="s">
        <v>13</v>
      </c>
      <c r="AD17" s="48" t="s">
        <v>13</v>
      </c>
      <c r="AE17" s="48" t="s">
        <v>13</v>
      </c>
      <c r="AF17" s="48" t="s">
        <v>13</v>
      </c>
      <c r="AG17" s="48" t="s">
        <v>13</v>
      </c>
      <c r="AH17" s="48" t="s">
        <v>13</v>
      </c>
      <c r="AI17" s="48" t="s">
        <v>34</v>
      </c>
      <c r="AJ17" s="50">
        <f t="shared" si="4"/>
        <v>26</v>
      </c>
      <c r="AK17" s="50">
        <f t="shared" si="5"/>
        <v>4.5</v>
      </c>
      <c r="AL17" s="50">
        <f t="shared" si="7"/>
        <v>1</v>
      </c>
      <c r="AM17" s="51">
        <f t="shared" si="6"/>
        <v>31</v>
      </c>
      <c r="AN17" s="52">
        <v>5000.0</v>
      </c>
    </row>
    <row r="18" ht="19.5" customHeight="1">
      <c r="A18" s="38" t="str">
        <f t="shared" si="3"/>
        <v>KhenyaHelpermori</v>
      </c>
      <c r="B18" s="54" t="s">
        <v>48</v>
      </c>
      <c r="C18" s="40" t="s">
        <v>15</v>
      </c>
      <c r="D18" s="40" t="s">
        <v>50</v>
      </c>
      <c r="E18" s="41" t="s">
        <v>13</v>
      </c>
      <c r="F18" s="41" t="s">
        <v>13</v>
      </c>
      <c r="G18" s="41" t="s">
        <v>13</v>
      </c>
      <c r="H18" s="41" t="s">
        <v>13</v>
      </c>
      <c r="I18" s="41" t="s">
        <v>13</v>
      </c>
      <c r="J18" s="41" t="s">
        <v>13</v>
      </c>
      <c r="K18" s="41" t="s">
        <v>13</v>
      </c>
      <c r="L18" s="41" t="s">
        <v>13</v>
      </c>
      <c r="M18" s="41" t="s">
        <v>13</v>
      </c>
      <c r="N18" s="41" t="s">
        <v>13</v>
      </c>
      <c r="O18" s="41" t="s">
        <v>13</v>
      </c>
      <c r="P18" s="41" t="s">
        <v>13</v>
      </c>
      <c r="Q18" s="41" t="s">
        <v>20</v>
      </c>
      <c r="R18" s="41" t="s">
        <v>13</v>
      </c>
      <c r="S18" s="41" t="s">
        <v>13</v>
      </c>
      <c r="T18" s="41" t="s">
        <v>13</v>
      </c>
      <c r="U18" s="41" t="s">
        <v>13</v>
      </c>
      <c r="V18" s="41" t="s">
        <v>13</v>
      </c>
      <c r="W18" s="41" t="s">
        <v>13</v>
      </c>
      <c r="X18" s="41" t="s">
        <v>13</v>
      </c>
      <c r="Y18" s="41" t="s">
        <v>13</v>
      </c>
      <c r="Z18" s="41" t="s">
        <v>20</v>
      </c>
      <c r="AA18" s="41" t="s">
        <v>13</v>
      </c>
      <c r="AB18" s="41" t="s">
        <v>13</v>
      </c>
      <c r="AC18" s="41" t="s">
        <v>13</v>
      </c>
      <c r="AD18" s="41" t="s">
        <v>13</v>
      </c>
      <c r="AE18" s="41" t="s">
        <v>13</v>
      </c>
      <c r="AF18" s="41" t="s">
        <v>13</v>
      </c>
      <c r="AG18" s="41" t="s">
        <v>13</v>
      </c>
      <c r="AH18" s="41" t="s">
        <v>13</v>
      </c>
      <c r="AI18" s="41" t="s">
        <v>13</v>
      </c>
      <c r="AJ18" s="43">
        <f t="shared" si="4"/>
        <v>29</v>
      </c>
      <c r="AK18" s="43">
        <f t="shared" si="5"/>
        <v>2</v>
      </c>
      <c r="AL18" s="43">
        <f t="shared" si="7"/>
        <v>0</v>
      </c>
      <c r="AM18" s="44">
        <f t="shared" si="6"/>
        <v>31</v>
      </c>
      <c r="AN18" s="55">
        <v>200.0</v>
      </c>
    </row>
    <row r="19" ht="19.5" customHeight="1">
      <c r="A19" s="56"/>
      <c r="B19" s="57"/>
      <c r="C19" s="56"/>
      <c r="D19" s="56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50">
        <f t="shared" si="4"/>
        <v>0</v>
      </c>
      <c r="AK19" s="50">
        <f t="shared" si="5"/>
        <v>0</v>
      </c>
      <c r="AL19" s="50">
        <f t="shared" si="7"/>
        <v>0</v>
      </c>
      <c r="AM19" s="51">
        <f t="shared" si="6"/>
        <v>0</v>
      </c>
      <c r="AN19" s="51"/>
    </row>
    <row r="20" ht="19.5" customHeight="1">
      <c r="A20" s="58"/>
      <c r="B20" s="59"/>
      <c r="C20" s="58"/>
      <c r="D20" s="58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3">
        <f t="shared" si="4"/>
        <v>0</v>
      </c>
      <c r="AK20" s="43">
        <f t="shared" si="5"/>
        <v>0</v>
      </c>
      <c r="AL20" s="43">
        <f t="shared" si="7"/>
        <v>0</v>
      </c>
      <c r="AM20" s="44">
        <f t="shared" si="6"/>
        <v>0</v>
      </c>
      <c r="AN20" s="44"/>
    </row>
    <row r="21" ht="19.5" customHeight="1">
      <c r="A21" s="56"/>
      <c r="B21" s="57"/>
      <c r="C21" s="56"/>
      <c r="D21" s="56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50">
        <f t="shared" si="4"/>
        <v>0</v>
      </c>
      <c r="AK21" s="50">
        <f t="shared" si="5"/>
        <v>0</v>
      </c>
      <c r="AL21" s="50">
        <f t="shared" si="7"/>
        <v>0</v>
      </c>
      <c r="AM21" s="51">
        <f t="shared" si="6"/>
        <v>0</v>
      </c>
      <c r="AN21" s="51"/>
    </row>
    <row r="22" ht="19.5" customHeight="1">
      <c r="A22" s="58"/>
      <c r="B22" s="59"/>
      <c r="C22" s="58"/>
      <c r="D22" s="58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3">
        <f t="shared" si="4"/>
        <v>0</v>
      </c>
      <c r="AK22" s="43">
        <f t="shared" si="5"/>
        <v>0</v>
      </c>
      <c r="AL22" s="43">
        <f t="shared" si="7"/>
        <v>0</v>
      </c>
      <c r="AM22" s="44">
        <f t="shared" si="6"/>
        <v>0</v>
      </c>
      <c r="AN22" s="44"/>
    </row>
    <row r="23" ht="19.5" customHeight="1">
      <c r="A23" s="56"/>
      <c r="B23" s="57"/>
      <c r="C23" s="56"/>
      <c r="D23" s="56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50">
        <f t="shared" si="4"/>
        <v>0</v>
      </c>
      <c r="AK23" s="50">
        <f t="shared" si="5"/>
        <v>0</v>
      </c>
      <c r="AL23" s="50">
        <f t="shared" si="7"/>
        <v>0</v>
      </c>
      <c r="AM23" s="51">
        <f t="shared" si="6"/>
        <v>0</v>
      </c>
      <c r="AN23" s="51"/>
    </row>
    <row r="24" ht="19.5" customHeight="1">
      <c r="A24" s="58"/>
      <c r="B24" s="59"/>
      <c r="C24" s="58"/>
      <c r="D24" s="58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3">
        <f t="shared" si="4"/>
        <v>0</v>
      </c>
      <c r="AK24" s="43">
        <f t="shared" si="5"/>
        <v>0</v>
      </c>
      <c r="AL24" s="43">
        <f t="shared" si="7"/>
        <v>0</v>
      </c>
      <c r="AM24" s="44">
        <f t="shared" si="6"/>
        <v>0</v>
      </c>
      <c r="AN24" s="44"/>
    </row>
    <row r="25" ht="19.5" customHeight="1">
      <c r="A25" s="56"/>
      <c r="B25" s="57"/>
      <c r="C25" s="56"/>
      <c r="D25" s="56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50">
        <f t="shared" si="4"/>
        <v>0</v>
      </c>
      <c r="AK25" s="50">
        <f t="shared" si="5"/>
        <v>0</v>
      </c>
      <c r="AL25" s="50">
        <f t="shared" si="7"/>
        <v>0</v>
      </c>
      <c r="AM25" s="51">
        <f t="shared" si="6"/>
        <v>0</v>
      </c>
      <c r="AN25" s="51"/>
    </row>
    <row r="26" ht="19.5" customHeight="1">
      <c r="A26" s="58"/>
      <c r="B26" s="59"/>
      <c r="C26" s="58"/>
      <c r="D26" s="58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3">
        <f t="shared" si="4"/>
        <v>0</v>
      </c>
      <c r="AK26" s="43">
        <f t="shared" si="5"/>
        <v>0</v>
      </c>
      <c r="AL26" s="43">
        <f t="shared" si="7"/>
        <v>0</v>
      </c>
      <c r="AM26" s="44">
        <f t="shared" si="6"/>
        <v>0</v>
      </c>
      <c r="AN26" s="44"/>
    </row>
    <row r="27" ht="19.5" customHeight="1">
      <c r="A27" s="56"/>
      <c r="B27" s="57"/>
      <c r="C27" s="56"/>
      <c r="D27" s="56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50">
        <f t="shared" si="4"/>
        <v>0</v>
      </c>
      <c r="AK27" s="50">
        <f t="shared" si="5"/>
        <v>0</v>
      </c>
      <c r="AL27" s="50">
        <f t="shared" si="7"/>
        <v>0</v>
      </c>
      <c r="AM27" s="51">
        <f t="shared" si="6"/>
        <v>0</v>
      </c>
      <c r="AN27" s="51"/>
    </row>
    <row r="28" ht="19.5" customHeight="1">
      <c r="A28" s="58"/>
      <c r="B28" s="59"/>
      <c r="C28" s="58"/>
      <c r="D28" s="58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3">
        <f t="shared" si="4"/>
        <v>0</v>
      </c>
      <c r="AK28" s="43">
        <f t="shared" si="5"/>
        <v>0</v>
      </c>
      <c r="AL28" s="43">
        <f t="shared" si="7"/>
        <v>0</v>
      </c>
      <c r="AM28" s="44">
        <f t="shared" si="6"/>
        <v>0</v>
      </c>
      <c r="AN28" s="44"/>
    </row>
    <row r="29" ht="19.5" customHeight="1">
      <c r="A29" s="56"/>
      <c r="B29" s="57"/>
      <c r="C29" s="56"/>
      <c r="D29" s="56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50">
        <f t="shared" si="4"/>
        <v>0</v>
      </c>
      <c r="AK29" s="50">
        <f t="shared" si="5"/>
        <v>0</v>
      </c>
      <c r="AL29" s="50">
        <f t="shared" si="7"/>
        <v>0</v>
      </c>
      <c r="AM29" s="51">
        <f t="shared" si="6"/>
        <v>0</v>
      </c>
      <c r="AN29" s="51"/>
    </row>
    <row r="30" ht="19.5" customHeight="1">
      <c r="A30" s="58"/>
      <c r="B30" s="59"/>
      <c r="C30" s="58"/>
      <c r="D30" s="58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3">
        <f t="shared" si="4"/>
        <v>0</v>
      </c>
      <c r="AK30" s="43">
        <f t="shared" si="5"/>
        <v>0</v>
      </c>
      <c r="AL30" s="43">
        <f t="shared" si="7"/>
        <v>0</v>
      </c>
      <c r="AM30" s="44">
        <f t="shared" si="6"/>
        <v>0</v>
      </c>
      <c r="AN30" s="44"/>
    </row>
    <row r="31" ht="19.5" customHeight="1">
      <c r="A31" s="56"/>
      <c r="B31" s="57"/>
      <c r="C31" s="56"/>
      <c r="D31" s="56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50">
        <f t="shared" si="4"/>
        <v>0</v>
      </c>
      <c r="AK31" s="50">
        <f t="shared" si="5"/>
        <v>0</v>
      </c>
      <c r="AL31" s="50">
        <f t="shared" si="7"/>
        <v>0</v>
      </c>
      <c r="AM31" s="51">
        <f t="shared" si="6"/>
        <v>0</v>
      </c>
      <c r="AN31" s="51"/>
    </row>
    <row r="32" ht="19.5" customHeight="1">
      <c r="A32" s="58"/>
      <c r="B32" s="59"/>
      <c r="C32" s="58"/>
      <c r="D32" s="58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3">
        <f t="shared" si="4"/>
        <v>0</v>
      </c>
      <c r="AK32" s="43">
        <f t="shared" si="5"/>
        <v>0</v>
      </c>
      <c r="AL32" s="43">
        <f t="shared" si="7"/>
        <v>0</v>
      </c>
      <c r="AM32" s="44">
        <f t="shared" si="6"/>
        <v>0</v>
      </c>
      <c r="AN32" s="44"/>
    </row>
    <row r="33" ht="19.5" customHeight="1">
      <c r="A33" s="56"/>
      <c r="B33" s="57"/>
      <c r="C33" s="56"/>
      <c r="D33" s="56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50">
        <f t="shared" si="4"/>
        <v>0</v>
      </c>
      <c r="AK33" s="50">
        <f t="shared" si="5"/>
        <v>0</v>
      </c>
      <c r="AL33" s="50">
        <f t="shared" si="7"/>
        <v>0</v>
      </c>
      <c r="AM33" s="51">
        <f t="shared" si="6"/>
        <v>0</v>
      </c>
      <c r="AN33" s="51"/>
    </row>
    <row r="34" ht="19.5" customHeight="1">
      <c r="A34" s="58"/>
      <c r="B34" s="59"/>
      <c r="C34" s="58"/>
      <c r="D34" s="58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3">
        <f t="shared" si="4"/>
        <v>0</v>
      </c>
      <c r="AK34" s="43">
        <f t="shared" si="5"/>
        <v>0</v>
      </c>
      <c r="AL34" s="43">
        <f t="shared" si="7"/>
        <v>0</v>
      </c>
      <c r="AM34" s="44">
        <f t="shared" si="6"/>
        <v>0</v>
      </c>
      <c r="AN34" s="44"/>
    </row>
    <row r="35" ht="19.5" customHeight="1">
      <c r="A35" s="56"/>
      <c r="B35" s="57"/>
      <c r="C35" s="56"/>
      <c r="D35" s="56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50">
        <f t="shared" si="5"/>
        <v>0</v>
      </c>
      <c r="AL35" s="60">
        <f t="shared" ref="AL35:AM35" si="8">countif($E35:$Y35,AL$3)</f>
        <v>0</v>
      </c>
      <c r="AM35" s="51">
        <f t="shared" si="8"/>
        <v>0</v>
      </c>
      <c r="AN35" s="51"/>
    </row>
    <row r="36" ht="19.5" customHeight="1">
      <c r="A36" s="58"/>
    </row>
    <row r="37" ht="19.5" hidden="1" customHeight="1">
      <c r="A37" s="28"/>
    </row>
  </sheetData>
  <autoFilter ref="$B$2:$AN$35"/>
  <mergeCells count="1">
    <mergeCell ref="E1:U1"/>
  </mergeCells>
  <dataValidations>
    <dataValidation type="list" allowBlank="1" showErrorMessage="1" sqref="E4:AI34 E35:AJ35">
      <formula1>"Present,Off,Half Day,Left"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12.88"/>
    <col customWidth="1" min="6" max="37" width="6.13"/>
    <col customWidth="1" min="38" max="41" width="9.38"/>
    <col customWidth="1" min="42" max="42" width="11.5"/>
  </cols>
  <sheetData>
    <row r="1" ht="3.0" customHeight="1">
      <c r="A1" s="5"/>
      <c r="B1" s="5"/>
      <c r="C1" s="5"/>
      <c r="D1" s="6">
        <f>day(EOMONTH(T2,0))</f>
        <v>28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26.25" customHeight="1">
      <c r="A2" s="9"/>
      <c r="B2" s="10" t="s">
        <v>5</v>
      </c>
      <c r="C2" s="10"/>
      <c r="D2" s="10"/>
      <c r="E2" s="11">
        <v>45689.0</v>
      </c>
      <c r="F2" s="12">
        <f t="shared" ref="F2:AI2" si="1">IF(MONTH(E2+1)=MONTH(EOMONTH($E$2,0)),E2+1,"")</f>
        <v>45690</v>
      </c>
      <c r="G2" s="12">
        <f t="shared" si="1"/>
        <v>45691</v>
      </c>
      <c r="H2" s="12">
        <f t="shared" si="1"/>
        <v>45692</v>
      </c>
      <c r="I2" s="12">
        <f t="shared" si="1"/>
        <v>45693</v>
      </c>
      <c r="J2" s="12">
        <f t="shared" si="1"/>
        <v>45694</v>
      </c>
      <c r="K2" s="12">
        <f t="shared" si="1"/>
        <v>45695</v>
      </c>
      <c r="L2" s="12">
        <f t="shared" si="1"/>
        <v>45696</v>
      </c>
      <c r="M2" s="12">
        <f t="shared" si="1"/>
        <v>45697</v>
      </c>
      <c r="N2" s="12">
        <f t="shared" si="1"/>
        <v>45698</v>
      </c>
      <c r="O2" s="12">
        <f t="shared" si="1"/>
        <v>45699</v>
      </c>
      <c r="P2" s="12">
        <f t="shared" si="1"/>
        <v>45700</v>
      </c>
      <c r="Q2" s="12">
        <f t="shared" si="1"/>
        <v>45701</v>
      </c>
      <c r="R2" s="12">
        <f t="shared" si="1"/>
        <v>45702</v>
      </c>
      <c r="S2" s="12">
        <f t="shared" si="1"/>
        <v>45703</v>
      </c>
      <c r="T2" s="12">
        <f t="shared" si="1"/>
        <v>45704</v>
      </c>
      <c r="U2" s="12">
        <f t="shared" si="1"/>
        <v>45705</v>
      </c>
      <c r="V2" s="12">
        <f t="shared" si="1"/>
        <v>45706</v>
      </c>
      <c r="W2" s="12">
        <f t="shared" si="1"/>
        <v>45707</v>
      </c>
      <c r="X2" s="12">
        <f t="shared" si="1"/>
        <v>45708</v>
      </c>
      <c r="Y2" s="12">
        <f t="shared" si="1"/>
        <v>45709</v>
      </c>
      <c r="Z2" s="12">
        <f t="shared" si="1"/>
        <v>45710</v>
      </c>
      <c r="AA2" s="12">
        <f t="shared" si="1"/>
        <v>45711</v>
      </c>
      <c r="AB2" s="12">
        <f t="shared" si="1"/>
        <v>45712</v>
      </c>
      <c r="AC2" s="12">
        <f t="shared" si="1"/>
        <v>45713</v>
      </c>
      <c r="AD2" s="12">
        <f t="shared" si="1"/>
        <v>45714</v>
      </c>
      <c r="AE2" s="12">
        <f t="shared" si="1"/>
        <v>45715</v>
      </c>
      <c r="AF2" s="12">
        <f t="shared" si="1"/>
        <v>45716</v>
      </c>
      <c r="AG2" s="12" t="str">
        <f t="shared" si="1"/>
        <v/>
      </c>
      <c r="AH2" s="12" t="str">
        <f t="shared" si="1"/>
        <v/>
      </c>
      <c r="AI2" s="12" t="str">
        <f t="shared" si="1"/>
        <v/>
      </c>
      <c r="AJ2" s="13" t="str">
        <f>'Attendance key'!$C7</f>
        <v>Present</v>
      </c>
      <c r="AK2" s="13" t="str">
        <f>'Attendance key'!$C8</f>
        <v>Leave</v>
      </c>
      <c r="AL2" s="14" t="str">
        <f>'Attendance key'!$C9</f>
        <v>Half Day</v>
      </c>
      <c r="AM2" s="63" t="s">
        <v>6</v>
      </c>
      <c r="AN2" s="64">
        <f>sum(AN4:AN35)</f>
        <v>21600</v>
      </c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45689</v>
      </c>
      <c r="F3" s="17">
        <f t="shared" si="2"/>
        <v>45690</v>
      </c>
      <c r="G3" s="17">
        <f t="shared" si="2"/>
        <v>45691</v>
      </c>
      <c r="H3" s="17">
        <f t="shared" si="2"/>
        <v>45692</v>
      </c>
      <c r="I3" s="17">
        <f t="shared" si="2"/>
        <v>45693</v>
      </c>
      <c r="J3" s="17">
        <f t="shared" si="2"/>
        <v>45694</v>
      </c>
      <c r="K3" s="17">
        <f t="shared" si="2"/>
        <v>45695</v>
      </c>
      <c r="L3" s="17">
        <f t="shared" si="2"/>
        <v>45696</v>
      </c>
      <c r="M3" s="17">
        <f t="shared" si="2"/>
        <v>45697</v>
      </c>
      <c r="N3" s="17">
        <f t="shared" si="2"/>
        <v>45698</v>
      </c>
      <c r="O3" s="17">
        <f t="shared" si="2"/>
        <v>45699</v>
      </c>
      <c r="P3" s="17">
        <f t="shared" si="2"/>
        <v>45700</v>
      </c>
      <c r="Q3" s="17">
        <f t="shared" si="2"/>
        <v>45701</v>
      </c>
      <c r="R3" s="17">
        <f t="shared" si="2"/>
        <v>45702</v>
      </c>
      <c r="S3" s="17">
        <f t="shared" si="2"/>
        <v>45703</v>
      </c>
      <c r="T3" s="17">
        <f t="shared" si="2"/>
        <v>45704</v>
      </c>
      <c r="U3" s="17">
        <f t="shared" si="2"/>
        <v>45705</v>
      </c>
      <c r="V3" s="17">
        <f t="shared" si="2"/>
        <v>45706</v>
      </c>
      <c r="W3" s="17">
        <f t="shared" si="2"/>
        <v>45707</v>
      </c>
      <c r="X3" s="17">
        <f t="shared" si="2"/>
        <v>45708</v>
      </c>
      <c r="Y3" s="17">
        <f t="shared" si="2"/>
        <v>45709</v>
      </c>
      <c r="Z3" s="17">
        <f t="shared" si="2"/>
        <v>45710</v>
      </c>
      <c r="AA3" s="17">
        <f t="shared" si="2"/>
        <v>45711</v>
      </c>
      <c r="AB3" s="17">
        <f t="shared" si="2"/>
        <v>45712</v>
      </c>
      <c r="AC3" s="17">
        <f t="shared" si="2"/>
        <v>45713</v>
      </c>
      <c r="AD3" s="17">
        <f t="shared" si="2"/>
        <v>45714</v>
      </c>
      <c r="AE3" s="17">
        <f t="shared" si="2"/>
        <v>45715</v>
      </c>
      <c r="AF3" s="17">
        <f t="shared" si="2"/>
        <v>45716</v>
      </c>
      <c r="AG3" s="17" t="str">
        <f t="shared" si="2"/>
        <v/>
      </c>
      <c r="AH3" s="17" t="str">
        <f t="shared" si="2"/>
        <v/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0" si="3">B4&amp;C4&amp;D4</f>
        <v>AkhilCaptainService</v>
      </c>
      <c r="B4" s="21" t="s">
        <v>10</v>
      </c>
      <c r="C4" s="22" t="s">
        <v>11</v>
      </c>
      <c r="D4" s="22" t="s">
        <v>12</v>
      </c>
      <c r="E4" s="23" t="s">
        <v>38</v>
      </c>
      <c r="F4" s="23" t="s">
        <v>38</v>
      </c>
      <c r="G4" s="23" t="s">
        <v>38</v>
      </c>
      <c r="H4" s="23" t="s">
        <v>38</v>
      </c>
      <c r="I4" s="23" t="s">
        <v>38</v>
      </c>
      <c r="J4" s="23" t="s">
        <v>38</v>
      </c>
      <c r="K4" s="23" t="s">
        <v>38</v>
      </c>
      <c r="L4" s="23" t="s">
        <v>38</v>
      </c>
      <c r="M4" s="23" t="s">
        <v>38</v>
      </c>
      <c r="N4" s="23" t="s">
        <v>38</v>
      </c>
      <c r="O4" s="23" t="s">
        <v>38</v>
      </c>
      <c r="P4" s="66" t="s">
        <v>38</v>
      </c>
      <c r="Q4" s="66" t="s">
        <v>38</v>
      </c>
      <c r="R4" s="23" t="s">
        <v>38</v>
      </c>
      <c r="S4" s="23" t="s">
        <v>38</v>
      </c>
      <c r="T4" s="23" t="s">
        <v>38</v>
      </c>
      <c r="U4" s="23" t="s">
        <v>38</v>
      </c>
      <c r="V4" s="23" t="s">
        <v>38</v>
      </c>
      <c r="W4" s="23" t="s">
        <v>38</v>
      </c>
      <c r="X4" s="23" t="s">
        <v>38</v>
      </c>
      <c r="Y4" s="23" t="s">
        <v>38</v>
      </c>
      <c r="Z4" s="23" t="s">
        <v>38</v>
      </c>
      <c r="AA4" s="66" t="s">
        <v>38</v>
      </c>
      <c r="AB4" s="67" t="s">
        <v>38</v>
      </c>
      <c r="AC4" s="67" t="s">
        <v>38</v>
      </c>
      <c r="AD4" s="67" t="s">
        <v>38</v>
      </c>
      <c r="AE4" s="67" t="s">
        <v>38</v>
      </c>
      <c r="AF4" s="67" t="s">
        <v>13</v>
      </c>
      <c r="AG4" s="25"/>
      <c r="AH4" s="25"/>
      <c r="AI4" s="25"/>
      <c r="AJ4" s="24">
        <f t="shared" ref="AJ4:AJ33" si="4">if(countif($E4:$AF4,AJ$3)&gt;day(EOMONTH($T$2,0)),"Error",countif($E4:$AF4,AJ$3))</f>
        <v>1</v>
      </c>
      <c r="AK4" s="24">
        <f t="shared" ref="AK4:AK34" si="5">countif($E4:$AF4,AK$3)+(sum(AL4)/2)</f>
        <v>0</v>
      </c>
      <c r="AL4" s="24">
        <f t="shared" ref="AL4:AL33" si="6">countif($E4:$AF4,AL$3)</f>
        <v>0</v>
      </c>
      <c r="AM4" s="68">
        <f t="shared" ref="AM4:AM33" si="7"> AJ4 + AK4 +(AL4 / 2)
</f>
        <v>1</v>
      </c>
      <c r="AN4" s="69"/>
      <c r="AO4" s="68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6" t="s">
        <v>13</v>
      </c>
      <c r="Q5" s="66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20</v>
      </c>
      <c r="W5" s="23" t="s">
        <v>13</v>
      </c>
      <c r="X5" s="23" t="s">
        <v>13</v>
      </c>
      <c r="Y5" s="23" t="s">
        <v>13</v>
      </c>
      <c r="Z5" s="23" t="s">
        <v>13</v>
      </c>
      <c r="AA5" s="66" t="s">
        <v>13</v>
      </c>
      <c r="AB5" s="66" t="s">
        <v>13</v>
      </c>
      <c r="AC5" s="66" t="s">
        <v>13</v>
      </c>
      <c r="AD5" s="23" t="s">
        <v>20</v>
      </c>
      <c r="AE5" s="23" t="s">
        <v>20</v>
      </c>
      <c r="AF5" s="23" t="s">
        <v>20</v>
      </c>
      <c r="AG5" s="25"/>
      <c r="AH5" s="25"/>
      <c r="AI5" s="25"/>
      <c r="AJ5" s="24">
        <f t="shared" si="4"/>
        <v>24</v>
      </c>
      <c r="AK5" s="24">
        <f t="shared" si="5"/>
        <v>4</v>
      </c>
      <c r="AL5" s="24">
        <f t="shared" si="6"/>
        <v>0</v>
      </c>
      <c r="AM5" s="68">
        <f t="shared" si="7"/>
        <v>28</v>
      </c>
      <c r="AN5" s="70">
        <v>6000.0</v>
      </c>
      <c r="AO5" s="71"/>
    </row>
    <row r="6" ht="19.5" customHeight="1">
      <c r="A6" s="20" t="str">
        <f t="shared" si="3"/>
        <v>SuhailWaiterService</v>
      </c>
      <c r="B6" s="21" t="s">
        <v>21</v>
      </c>
      <c r="C6" s="22" t="s">
        <v>22</v>
      </c>
      <c r="D6" s="22" t="s">
        <v>12</v>
      </c>
      <c r="E6" s="23" t="s">
        <v>13</v>
      </c>
      <c r="F6" s="23" t="s">
        <v>13</v>
      </c>
      <c r="G6" s="23" t="s">
        <v>13</v>
      </c>
      <c r="H6" s="23" t="s">
        <v>13</v>
      </c>
      <c r="I6" s="23" t="s">
        <v>13</v>
      </c>
      <c r="J6" s="23" t="s">
        <v>13</v>
      </c>
      <c r="K6" s="23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6" t="s">
        <v>13</v>
      </c>
      <c r="Q6" s="66" t="s">
        <v>13</v>
      </c>
      <c r="R6" s="23" t="s">
        <v>13</v>
      </c>
      <c r="S6" s="23" t="s">
        <v>13</v>
      </c>
      <c r="T6" s="23" t="s">
        <v>13</v>
      </c>
      <c r="U6" s="23" t="s">
        <v>13</v>
      </c>
      <c r="V6" s="23" t="s">
        <v>13</v>
      </c>
      <c r="W6" s="23" t="s">
        <v>13</v>
      </c>
      <c r="X6" s="23" t="s">
        <v>13</v>
      </c>
      <c r="Y6" s="23" t="s">
        <v>13</v>
      </c>
      <c r="Z6" s="23" t="s">
        <v>13</v>
      </c>
      <c r="AA6" s="66" t="s">
        <v>13</v>
      </c>
      <c r="AB6" s="67" t="s">
        <v>20</v>
      </c>
      <c r="AC6" s="66" t="s">
        <v>13</v>
      </c>
      <c r="AD6" s="23" t="s">
        <v>13</v>
      </c>
      <c r="AE6" s="23" t="s">
        <v>13</v>
      </c>
      <c r="AF6" s="23" t="s">
        <v>13</v>
      </c>
      <c r="AG6" s="25"/>
      <c r="AH6" s="25"/>
      <c r="AI6" s="25"/>
      <c r="AJ6" s="24">
        <f t="shared" si="4"/>
        <v>27</v>
      </c>
      <c r="AK6" s="24">
        <f t="shared" si="5"/>
        <v>1</v>
      </c>
      <c r="AL6" s="24">
        <f t="shared" si="6"/>
        <v>0</v>
      </c>
      <c r="AM6" s="68">
        <f t="shared" si="7"/>
        <v>28</v>
      </c>
      <c r="AN6" s="69"/>
      <c r="AO6" s="68"/>
    </row>
    <row r="7" ht="19.5" customHeight="1">
      <c r="A7" s="20" t="str">
        <f t="shared" si="3"/>
        <v>WakilHelperMori</v>
      </c>
      <c r="B7" s="21" t="s">
        <v>24</v>
      </c>
      <c r="C7" s="22" t="s">
        <v>15</v>
      </c>
      <c r="D7" s="22" t="s">
        <v>16</v>
      </c>
      <c r="E7" s="23" t="s">
        <v>13</v>
      </c>
      <c r="F7" s="23" t="s">
        <v>13</v>
      </c>
      <c r="G7" s="23" t="s">
        <v>13</v>
      </c>
      <c r="H7" s="23" t="s">
        <v>13</v>
      </c>
      <c r="I7" s="23" t="s">
        <v>13</v>
      </c>
      <c r="J7" s="23" t="s">
        <v>13</v>
      </c>
      <c r="K7" s="23" t="s">
        <v>13</v>
      </c>
      <c r="L7" s="23" t="s">
        <v>13</v>
      </c>
      <c r="M7" s="23" t="s">
        <v>13</v>
      </c>
      <c r="N7" s="23" t="s">
        <v>20</v>
      </c>
      <c r="O7" s="23" t="s">
        <v>13</v>
      </c>
      <c r="P7" s="66" t="s">
        <v>13</v>
      </c>
      <c r="Q7" s="66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23" t="s">
        <v>13</v>
      </c>
      <c r="X7" s="23" t="s">
        <v>13</v>
      </c>
      <c r="Y7" s="23" t="s">
        <v>13</v>
      </c>
      <c r="Z7" s="23" t="s">
        <v>13</v>
      </c>
      <c r="AA7" s="66" t="s">
        <v>13</v>
      </c>
      <c r="AB7" s="66" t="s">
        <v>13</v>
      </c>
      <c r="AC7" s="66" t="s">
        <v>13</v>
      </c>
      <c r="AD7" s="23" t="s">
        <v>20</v>
      </c>
      <c r="AE7" s="23" t="s">
        <v>13</v>
      </c>
      <c r="AF7" s="23" t="s">
        <v>13</v>
      </c>
      <c r="AG7" s="25"/>
      <c r="AH7" s="25"/>
      <c r="AI7" s="25"/>
      <c r="AJ7" s="24">
        <f t="shared" si="4"/>
        <v>26</v>
      </c>
      <c r="AK7" s="24">
        <f t="shared" si="5"/>
        <v>2</v>
      </c>
      <c r="AL7" s="24">
        <f t="shared" si="6"/>
        <v>0</v>
      </c>
      <c r="AM7" s="68">
        <f t="shared" si="7"/>
        <v>28</v>
      </c>
      <c r="AN7" s="69"/>
      <c r="AO7" s="68"/>
    </row>
    <row r="8" ht="19.5" customHeight="1">
      <c r="A8" s="20" t="str">
        <f t="shared" si="3"/>
        <v>VijayChefTandoor</v>
      </c>
      <c r="B8" s="21" t="s">
        <v>25</v>
      </c>
      <c r="C8" s="22" t="s">
        <v>18</v>
      </c>
      <c r="D8" s="22" t="s">
        <v>19</v>
      </c>
      <c r="E8" s="23" t="s">
        <v>13</v>
      </c>
      <c r="F8" s="23" t="s">
        <v>13</v>
      </c>
      <c r="G8" s="23" t="s">
        <v>34</v>
      </c>
      <c r="H8" s="23" t="s">
        <v>13</v>
      </c>
      <c r="I8" s="23" t="s">
        <v>34</v>
      </c>
      <c r="J8" s="23" t="s">
        <v>13</v>
      </c>
      <c r="K8" s="23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67" t="s">
        <v>34</v>
      </c>
      <c r="Q8" s="67" t="s">
        <v>34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66" t="s">
        <v>13</v>
      </c>
      <c r="AB8" s="66" t="s">
        <v>13</v>
      </c>
      <c r="AC8" s="66" t="s">
        <v>13</v>
      </c>
      <c r="AD8" s="23" t="s">
        <v>20</v>
      </c>
      <c r="AE8" s="23" t="s">
        <v>13</v>
      </c>
      <c r="AF8" s="23" t="s">
        <v>13</v>
      </c>
      <c r="AG8" s="25"/>
      <c r="AH8" s="25"/>
      <c r="AI8" s="25"/>
      <c r="AJ8" s="24">
        <f t="shared" si="4"/>
        <v>23</v>
      </c>
      <c r="AK8" s="24">
        <f t="shared" si="5"/>
        <v>3</v>
      </c>
      <c r="AL8" s="24">
        <f t="shared" si="6"/>
        <v>4</v>
      </c>
      <c r="AM8" s="68">
        <f t="shared" si="7"/>
        <v>28</v>
      </c>
      <c r="AN8" s="72"/>
      <c r="AO8" s="71"/>
    </row>
    <row r="9" ht="19.5" customHeight="1">
      <c r="A9" s="20" t="str">
        <f t="shared" si="3"/>
        <v>NaseemSupervisorSupervisor</v>
      </c>
      <c r="B9" s="21" t="s">
        <v>26</v>
      </c>
      <c r="C9" s="22" t="s">
        <v>27</v>
      </c>
      <c r="D9" s="22" t="s">
        <v>27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23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66" t="s">
        <v>13</v>
      </c>
      <c r="Q9" s="66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66" t="s">
        <v>13</v>
      </c>
      <c r="AB9" s="66" t="s">
        <v>13</v>
      </c>
      <c r="AC9" s="66" t="s">
        <v>13</v>
      </c>
      <c r="AD9" s="23" t="s">
        <v>20</v>
      </c>
      <c r="AE9" s="23" t="s">
        <v>13</v>
      </c>
      <c r="AF9" s="23" t="s">
        <v>13</v>
      </c>
      <c r="AG9" s="25"/>
      <c r="AH9" s="25"/>
      <c r="AI9" s="25"/>
      <c r="AJ9" s="24">
        <f t="shared" si="4"/>
        <v>27</v>
      </c>
      <c r="AK9" s="24">
        <f t="shared" si="5"/>
        <v>1</v>
      </c>
      <c r="AL9" s="24">
        <f t="shared" si="6"/>
        <v>0</v>
      </c>
      <c r="AM9" s="68">
        <f t="shared" si="7"/>
        <v>28</v>
      </c>
      <c r="AN9" s="69"/>
      <c r="AO9" s="68"/>
    </row>
    <row r="10" ht="19.5" customHeight="1">
      <c r="A10" s="20" t="str">
        <f t="shared" si="3"/>
        <v>RajeshCombiTandoor</v>
      </c>
      <c r="B10" s="21" t="s">
        <v>28</v>
      </c>
      <c r="C10" s="22" t="s">
        <v>29</v>
      </c>
      <c r="D10" s="22" t="s">
        <v>19</v>
      </c>
      <c r="E10" s="23" t="s">
        <v>13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20</v>
      </c>
      <c r="O10" s="23" t="s">
        <v>20</v>
      </c>
      <c r="P10" s="67" t="s">
        <v>13</v>
      </c>
      <c r="Q10" s="67" t="s">
        <v>13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66" t="s">
        <v>13</v>
      </c>
      <c r="AB10" s="66" t="s">
        <v>13</v>
      </c>
      <c r="AC10" s="66" t="s">
        <v>13</v>
      </c>
      <c r="AD10" s="23" t="s">
        <v>20</v>
      </c>
      <c r="AE10" s="23" t="s">
        <v>13</v>
      </c>
      <c r="AF10" s="23" t="s">
        <v>13</v>
      </c>
      <c r="AG10" s="25"/>
      <c r="AH10" s="25"/>
      <c r="AI10" s="25"/>
      <c r="AJ10" s="24">
        <f t="shared" si="4"/>
        <v>25</v>
      </c>
      <c r="AK10" s="24">
        <f t="shared" si="5"/>
        <v>3</v>
      </c>
      <c r="AL10" s="24">
        <f t="shared" si="6"/>
        <v>0</v>
      </c>
      <c r="AM10" s="68">
        <f t="shared" si="7"/>
        <v>28</v>
      </c>
      <c r="AN10" s="70">
        <v>6000.0</v>
      </c>
      <c r="AO10" s="71"/>
    </row>
    <row r="11" ht="19.5" customHeight="1">
      <c r="A11" s="20" t="str">
        <f t="shared" si="3"/>
        <v>AyubChefTava</v>
      </c>
      <c r="B11" s="21" t="s">
        <v>30</v>
      </c>
      <c r="C11" s="22" t="s">
        <v>18</v>
      </c>
      <c r="D11" s="22" t="s">
        <v>31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66" t="s">
        <v>13</v>
      </c>
      <c r="Q11" s="66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66" t="s">
        <v>13</v>
      </c>
      <c r="AB11" s="66" t="s">
        <v>13</v>
      </c>
      <c r="AC11" s="66" t="s">
        <v>13</v>
      </c>
      <c r="AD11" s="23" t="s">
        <v>20</v>
      </c>
      <c r="AE11" s="23" t="s">
        <v>13</v>
      </c>
      <c r="AF11" s="23" t="s">
        <v>13</v>
      </c>
      <c r="AG11" s="25"/>
      <c r="AH11" s="25"/>
      <c r="AI11" s="25"/>
      <c r="AJ11" s="24">
        <f t="shared" si="4"/>
        <v>27</v>
      </c>
      <c r="AK11" s="24">
        <f t="shared" si="5"/>
        <v>1</v>
      </c>
      <c r="AL11" s="24">
        <f t="shared" si="6"/>
        <v>0</v>
      </c>
      <c r="AM11" s="68">
        <f t="shared" si="7"/>
        <v>28</v>
      </c>
      <c r="AN11" s="70">
        <v>1000.0</v>
      </c>
      <c r="AO11" s="73"/>
    </row>
    <row r="12" ht="19.5" customHeight="1">
      <c r="A12" s="20" t="str">
        <f t="shared" si="3"/>
        <v>AasifChefIndian</v>
      </c>
      <c r="B12" s="21" t="s">
        <v>32</v>
      </c>
      <c r="C12" s="22" t="s">
        <v>18</v>
      </c>
      <c r="D12" s="22" t="s">
        <v>33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66" t="s">
        <v>13</v>
      </c>
      <c r="Q12" s="66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66" t="s">
        <v>13</v>
      </c>
      <c r="AB12" s="66" t="s">
        <v>13</v>
      </c>
      <c r="AC12" s="66" t="s">
        <v>13</v>
      </c>
      <c r="AD12" s="23" t="s">
        <v>20</v>
      </c>
      <c r="AE12" s="23" t="s">
        <v>13</v>
      </c>
      <c r="AF12" s="23" t="s">
        <v>13</v>
      </c>
      <c r="AG12" s="25"/>
      <c r="AH12" s="25"/>
      <c r="AI12" s="25"/>
      <c r="AJ12" s="24">
        <f t="shared" si="4"/>
        <v>27</v>
      </c>
      <c r="AK12" s="24">
        <f t="shared" si="5"/>
        <v>1</v>
      </c>
      <c r="AL12" s="24">
        <f t="shared" si="6"/>
        <v>0</v>
      </c>
      <c r="AM12" s="68">
        <f t="shared" si="7"/>
        <v>28</v>
      </c>
      <c r="AN12" s="72"/>
      <c r="AO12" s="73"/>
    </row>
    <row r="13" ht="19.5" customHeight="1">
      <c r="A13" s="20" t="str">
        <f t="shared" si="3"/>
        <v>MujeemHelperIndian</v>
      </c>
      <c r="B13" s="21" t="s">
        <v>41</v>
      </c>
      <c r="C13" s="22" t="s">
        <v>15</v>
      </c>
      <c r="D13" s="22" t="s">
        <v>33</v>
      </c>
      <c r="E13" s="23" t="s">
        <v>13</v>
      </c>
      <c r="F13" s="23" t="s">
        <v>13</v>
      </c>
      <c r="G13" s="23" t="s">
        <v>20</v>
      </c>
      <c r="H13" s="23" t="s">
        <v>13</v>
      </c>
      <c r="I13" s="23" t="s">
        <v>13</v>
      </c>
      <c r="J13" s="23" t="s">
        <v>13</v>
      </c>
      <c r="K13" s="23" t="s">
        <v>13</v>
      </c>
      <c r="L13" s="23" t="s">
        <v>13</v>
      </c>
      <c r="M13" s="23" t="s">
        <v>13</v>
      </c>
      <c r="N13" s="23" t="s">
        <v>13</v>
      </c>
      <c r="O13" s="23" t="s">
        <v>34</v>
      </c>
      <c r="P13" s="67" t="s">
        <v>13</v>
      </c>
      <c r="Q13" s="67" t="s">
        <v>13</v>
      </c>
      <c r="R13" s="23" t="s">
        <v>13</v>
      </c>
      <c r="S13" s="23" t="s">
        <v>13</v>
      </c>
      <c r="T13" s="23" t="s">
        <v>13</v>
      </c>
      <c r="U13" s="23" t="s">
        <v>34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66" t="s">
        <v>13</v>
      </c>
      <c r="AB13" s="66" t="s">
        <v>13</v>
      </c>
      <c r="AC13" s="66" t="s">
        <v>13</v>
      </c>
      <c r="AD13" s="23" t="s">
        <v>20</v>
      </c>
      <c r="AE13" s="23" t="s">
        <v>13</v>
      </c>
      <c r="AF13" s="23" t="s">
        <v>13</v>
      </c>
      <c r="AG13" s="25"/>
      <c r="AH13" s="25"/>
      <c r="AI13" s="25"/>
      <c r="AJ13" s="24">
        <f t="shared" si="4"/>
        <v>24</v>
      </c>
      <c r="AK13" s="24">
        <f t="shared" si="5"/>
        <v>3</v>
      </c>
      <c r="AL13" s="24">
        <f t="shared" si="6"/>
        <v>2</v>
      </c>
      <c r="AM13" s="68">
        <f t="shared" si="7"/>
        <v>28</v>
      </c>
      <c r="AN13" s="70">
        <v>500.0</v>
      </c>
      <c r="AO13" s="71"/>
    </row>
    <row r="14" ht="19.5" customHeight="1">
      <c r="A14" s="20" t="str">
        <f t="shared" si="3"/>
        <v>SameerBillerService</v>
      </c>
      <c r="B14" s="21" t="s">
        <v>23</v>
      </c>
      <c r="C14" s="22" t="s">
        <v>42</v>
      </c>
      <c r="D14" s="22" t="s">
        <v>12</v>
      </c>
      <c r="E14" s="23" t="s">
        <v>13</v>
      </c>
      <c r="F14" s="23" t="s">
        <v>13</v>
      </c>
      <c r="G14" s="23" t="s">
        <v>13</v>
      </c>
      <c r="H14" s="23" t="s">
        <v>34</v>
      </c>
      <c r="I14" s="23" t="s">
        <v>13</v>
      </c>
      <c r="J14" s="23" t="s">
        <v>20</v>
      </c>
      <c r="K14" s="23" t="s">
        <v>20</v>
      </c>
      <c r="L14" s="23" t="s">
        <v>34</v>
      </c>
      <c r="M14" s="23" t="s">
        <v>20</v>
      </c>
      <c r="N14" s="23" t="s">
        <v>20</v>
      </c>
      <c r="O14" s="23" t="s">
        <v>20</v>
      </c>
      <c r="P14" s="66" t="s">
        <v>20</v>
      </c>
      <c r="Q14" s="66" t="s">
        <v>20</v>
      </c>
      <c r="R14" s="23" t="s">
        <v>20</v>
      </c>
      <c r="S14" s="23" t="s">
        <v>20</v>
      </c>
      <c r="T14" s="23" t="s">
        <v>20</v>
      </c>
      <c r="U14" s="23" t="s">
        <v>20</v>
      </c>
      <c r="V14" s="23" t="s">
        <v>20</v>
      </c>
      <c r="W14" s="23" t="s">
        <v>20</v>
      </c>
      <c r="X14" s="23" t="s">
        <v>20</v>
      </c>
      <c r="Y14" s="23" t="s">
        <v>20</v>
      </c>
      <c r="Z14" s="23" t="s">
        <v>20</v>
      </c>
      <c r="AA14" s="66" t="s">
        <v>20</v>
      </c>
      <c r="AB14" s="66" t="s">
        <v>20</v>
      </c>
      <c r="AC14" s="66" t="s">
        <v>20</v>
      </c>
      <c r="AD14" s="23" t="s">
        <v>20</v>
      </c>
      <c r="AE14" s="23" t="s">
        <v>20</v>
      </c>
      <c r="AF14" s="23" t="s">
        <v>20</v>
      </c>
      <c r="AG14" s="25"/>
      <c r="AH14" s="25"/>
      <c r="AI14" s="25"/>
      <c r="AJ14" s="24">
        <f t="shared" si="4"/>
        <v>4</v>
      </c>
      <c r="AK14" s="24">
        <f t="shared" si="5"/>
        <v>23</v>
      </c>
      <c r="AL14" s="24">
        <f t="shared" si="6"/>
        <v>2</v>
      </c>
      <c r="AM14" s="68">
        <f t="shared" si="7"/>
        <v>28</v>
      </c>
      <c r="AN14" s="72"/>
      <c r="AO14" s="73"/>
    </row>
    <row r="15" ht="19.5" customHeight="1">
      <c r="A15" s="20" t="str">
        <f t="shared" si="3"/>
        <v>DanishCombiIndian</v>
      </c>
      <c r="B15" s="21" t="s">
        <v>43</v>
      </c>
      <c r="C15" s="22" t="s">
        <v>29</v>
      </c>
      <c r="D15" s="22" t="s">
        <v>33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66" t="s">
        <v>13</v>
      </c>
      <c r="Q15" s="66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66" t="s">
        <v>13</v>
      </c>
      <c r="AB15" s="67" t="s">
        <v>34</v>
      </c>
      <c r="AC15" s="66" t="s">
        <v>13</v>
      </c>
      <c r="AD15" s="23" t="s">
        <v>20</v>
      </c>
      <c r="AE15" s="23" t="s">
        <v>13</v>
      </c>
      <c r="AF15" s="23" t="s">
        <v>13</v>
      </c>
      <c r="AG15" s="25"/>
      <c r="AH15" s="25"/>
      <c r="AI15" s="25"/>
      <c r="AJ15" s="24">
        <f t="shared" si="4"/>
        <v>26</v>
      </c>
      <c r="AK15" s="24">
        <f t="shared" si="5"/>
        <v>1.5</v>
      </c>
      <c r="AL15" s="24">
        <f t="shared" si="6"/>
        <v>1</v>
      </c>
      <c r="AM15" s="68">
        <f t="shared" si="7"/>
        <v>28</v>
      </c>
      <c r="AN15" s="69"/>
      <c r="AO15" s="71"/>
    </row>
    <row r="16" ht="19.5" customHeight="1">
      <c r="A16" s="20" t="str">
        <f t="shared" si="3"/>
        <v>IrfanChefChinese</v>
      </c>
      <c r="B16" s="21" t="s">
        <v>44</v>
      </c>
      <c r="C16" s="22" t="s">
        <v>18</v>
      </c>
      <c r="D16" s="22" t="s">
        <v>40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66" t="s">
        <v>13</v>
      </c>
      <c r="Q16" s="66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66" t="s">
        <v>13</v>
      </c>
      <c r="AB16" s="66" t="s">
        <v>13</v>
      </c>
      <c r="AC16" s="66" t="s">
        <v>13</v>
      </c>
      <c r="AD16" s="23" t="s">
        <v>20</v>
      </c>
      <c r="AE16" s="23" t="s">
        <v>20</v>
      </c>
      <c r="AF16" s="23" t="s">
        <v>13</v>
      </c>
      <c r="AG16" s="25"/>
      <c r="AH16" s="25"/>
      <c r="AI16" s="25"/>
      <c r="AJ16" s="24">
        <f t="shared" si="4"/>
        <v>26</v>
      </c>
      <c r="AK16" s="24">
        <f t="shared" si="5"/>
        <v>2</v>
      </c>
      <c r="AL16" s="24">
        <f t="shared" si="6"/>
        <v>0</v>
      </c>
      <c r="AM16" s="68">
        <f t="shared" si="7"/>
        <v>28</v>
      </c>
      <c r="AN16" s="69"/>
      <c r="AO16" s="71"/>
    </row>
    <row r="17" ht="19.5" customHeight="1">
      <c r="A17" s="20" t="str">
        <f t="shared" si="3"/>
        <v>SantoshWaiterService</v>
      </c>
      <c r="B17" s="21" t="s">
        <v>47</v>
      </c>
      <c r="C17" s="22" t="s">
        <v>22</v>
      </c>
      <c r="D17" s="22" t="s">
        <v>12</v>
      </c>
      <c r="E17" s="23" t="s">
        <v>13</v>
      </c>
      <c r="F17" s="23" t="s">
        <v>13</v>
      </c>
      <c r="G17" s="23" t="s">
        <v>13</v>
      </c>
      <c r="H17" s="23" t="s">
        <v>38</v>
      </c>
      <c r="I17" s="23" t="s">
        <v>38</v>
      </c>
      <c r="J17" s="23" t="s">
        <v>38</v>
      </c>
      <c r="K17" s="23" t="s">
        <v>38</v>
      </c>
      <c r="L17" s="23" t="s">
        <v>38</v>
      </c>
      <c r="M17" s="23" t="s">
        <v>38</v>
      </c>
      <c r="N17" s="23" t="s">
        <v>38</v>
      </c>
      <c r="O17" s="23" t="s">
        <v>38</v>
      </c>
      <c r="P17" s="23" t="s">
        <v>38</v>
      </c>
      <c r="Q17" s="23" t="s">
        <v>38</v>
      </c>
      <c r="R17" s="23" t="s">
        <v>38</v>
      </c>
      <c r="S17" s="23" t="s">
        <v>38</v>
      </c>
      <c r="T17" s="23" t="s">
        <v>38</v>
      </c>
      <c r="U17" s="23" t="s">
        <v>38</v>
      </c>
      <c r="V17" s="23" t="s">
        <v>38</v>
      </c>
      <c r="W17" s="23" t="s">
        <v>38</v>
      </c>
      <c r="X17" s="23" t="s">
        <v>38</v>
      </c>
      <c r="Y17" s="23" t="s">
        <v>38</v>
      </c>
      <c r="Z17" s="23" t="s">
        <v>38</v>
      </c>
      <c r="AA17" s="66" t="s">
        <v>38</v>
      </c>
      <c r="AB17" s="66" t="s">
        <v>38</v>
      </c>
      <c r="AC17" s="66" t="s">
        <v>38</v>
      </c>
      <c r="AD17" s="66" t="s">
        <v>38</v>
      </c>
      <c r="AE17" s="66" t="s">
        <v>38</v>
      </c>
      <c r="AF17" s="66" t="s">
        <v>38</v>
      </c>
      <c r="AG17" s="25"/>
      <c r="AH17" s="25"/>
      <c r="AI17" s="25"/>
      <c r="AJ17" s="24">
        <f t="shared" si="4"/>
        <v>3</v>
      </c>
      <c r="AK17" s="24">
        <f t="shared" si="5"/>
        <v>0</v>
      </c>
      <c r="AL17" s="24">
        <f t="shared" si="6"/>
        <v>0</v>
      </c>
      <c r="AM17" s="68">
        <f t="shared" si="7"/>
        <v>3</v>
      </c>
      <c r="AN17" s="72"/>
      <c r="AO17" s="71"/>
    </row>
    <row r="18" ht="19.5" customHeight="1">
      <c r="A18" s="20" t="str">
        <f t="shared" si="3"/>
        <v>KhenyaHelpermori</v>
      </c>
      <c r="B18" s="21" t="s">
        <v>48</v>
      </c>
      <c r="C18" s="22" t="s">
        <v>15</v>
      </c>
      <c r="D18" s="22" t="s">
        <v>50</v>
      </c>
      <c r="E18" s="23" t="s">
        <v>13</v>
      </c>
      <c r="F18" s="23" t="s">
        <v>13</v>
      </c>
      <c r="G18" s="23" t="s">
        <v>13</v>
      </c>
      <c r="H18" s="23" t="s">
        <v>13</v>
      </c>
      <c r="I18" s="23" t="s">
        <v>13</v>
      </c>
      <c r="J18" s="23" t="s">
        <v>13</v>
      </c>
      <c r="K18" s="23" t="s">
        <v>13</v>
      </c>
      <c r="L18" s="23" t="s">
        <v>13</v>
      </c>
      <c r="M18" s="23" t="s">
        <v>13</v>
      </c>
      <c r="N18" s="23" t="s">
        <v>13</v>
      </c>
      <c r="O18" s="23" t="s">
        <v>13</v>
      </c>
      <c r="P18" s="66" t="s">
        <v>13</v>
      </c>
      <c r="Q18" s="66" t="s">
        <v>13</v>
      </c>
      <c r="R18" s="23" t="s">
        <v>13</v>
      </c>
      <c r="S18" s="23" t="s">
        <v>13</v>
      </c>
      <c r="T18" s="23" t="s">
        <v>13</v>
      </c>
      <c r="U18" s="23" t="s">
        <v>13</v>
      </c>
      <c r="V18" s="23" t="s">
        <v>20</v>
      </c>
      <c r="W18" s="23" t="s">
        <v>13</v>
      </c>
      <c r="X18" s="23" t="s">
        <v>13</v>
      </c>
      <c r="Y18" s="23" t="s">
        <v>13</v>
      </c>
      <c r="Z18" s="23" t="s">
        <v>13</v>
      </c>
      <c r="AA18" s="66" t="s">
        <v>13</v>
      </c>
      <c r="AB18" s="66" t="s">
        <v>13</v>
      </c>
      <c r="AC18" s="66" t="s">
        <v>13</v>
      </c>
      <c r="AD18" s="23" t="s">
        <v>20</v>
      </c>
      <c r="AE18" s="23" t="s">
        <v>13</v>
      </c>
      <c r="AF18" s="23" t="s">
        <v>13</v>
      </c>
      <c r="AG18" s="25"/>
      <c r="AH18" s="25"/>
      <c r="AI18" s="25"/>
      <c r="AJ18" s="24">
        <f t="shared" si="4"/>
        <v>26</v>
      </c>
      <c r="AK18" s="24">
        <f t="shared" si="5"/>
        <v>2</v>
      </c>
      <c r="AL18" s="24">
        <f t="shared" si="6"/>
        <v>0</v>
      </c>
      <c r="AM18" s="68">
        <f t="shared" si="7"/>
        <v>28</v>
      </c>
      <c r="AN18" s="70">
        <v>2200.0</v>
      </c>
      <c r="AO18" s="73"/>
    </row>
    <row r="19" ht="19.5" customHeight="1">
      <c r="A19" s="20" t="str">
        <f t="shared" si="3"/>
        <v>NafeesWaiterService</v>
      </c>
      <c r="B19" s="21" t="s">
        <v>53</v>
      </c>
      <c r="C19" s="22" t="s">
        <v>22</v>
      </c>
      <c r="D19" s="22" t="s">
        <v>12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66" t="s">
        <v>13</v>
      </c>
      <c r="AB19" s="66" t="s">
        <v>13</v>
      </c>
      <c r="AC19" s="66" t="s">
        <v>13</v>
      </c>
      <c r="AD19" s="23" t="s">
        <v>13</v>
      </c>
      <c r="AE19" s="23" t="s">
        <v>13</v>
      </c>
      <c r="AF19" s="23" t="s">
        <v>13</v>
      </c>
      <c r="AG19" s="25"/>
      <c r="AH19" s="25"/>
      <c r="AI19" s="25"/>
      <c r="AJ19" s="24">
        <f t="shared" si="4"/>
        <v>16</v>
      </c>
      <c r="AK19" s="24">
        <f t="shared" si="5"/>
        <v>0</v>
      </c>
      <c r="AL19" s="24">
        <f t="shared" si="6"/>
        <v>0</v>
      </c>
      <c r="AM19" s="68">
        <f t="shared" si="7"/>
        <v>16</v>
      </c>
      <c r="AN19" s="70">
        <v>900.0</v>
      </c>
      <c r="AO19" s="68"/>
    </row>
    <row r="20" ht="19.5" customHeight="1">
      <c r="A20" s="20" t="str">
        <f t="shared" si="3"/>
        <v>ZuberChefShawarma</v>
      </c>
      <c r="B20" s="21" t="s">
        <v>54</v>
      </c>
      <c r="C20" s="22" t="s">
        <v>18</v>
      </c>
      <c r="D20" s="22" t="s">
        <v>55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66" t="s">
        <v>13</v>
      </c>
      <c r="AB20" s="66" t="s">
        <v>13</v>
      </c>
      <c r="AC20" s="66" t="s">
        <v>13</v>
      </c>
      <c r="AD20" s="23" t="s">
        <v>20</v>
      </c>
      <c r="AE20" s="23" t="s">
        <v>13</v>
      </c>
      <c r="AF20" s="23" t="s">
        <v>13</v>
      </c>
      <c r="AG20" s="25"/>
      <c r="AH20" s="25"/>
      <c r="AI20" s="25"/>
      <c r="AJ20" s="24">
        <f t="shared" si="4"/>
        <v>12</v>
      </c>
      <c r="AK20" s="24">
        <f t="shared" si="5"/>
        <v>1</v>
      </c>
      <c r="AL20" s="24">
        <f t="shared" si="6"/>
        <v>0</v>
      </c>
      <c r="AM20" s="68">
        <f t="shared" si="7"/>
        <v>13</v>
      </c>
      <c r="AN20" s="70">
        <v>5000.0</v>
      </c>
      <c r="AO20" s="68"/>
    </row>
    <row r="21" ht="19.5" customHeight="1">
      <c r="A21" s="26"/>
      <c r="B21" s="27"/>
      <c r="C21" s="26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5"/>
      <c r="AI21" s="25"/>
      <c r="AJ21" s="24">
        <f t="shared" si="4"/>
        <v>0</v>
      </c>
      <c r="AK21" s="24">
        <f t="shared" si="5"/>
        <v>0</v>
      </c>
      <c r="AL21" s="24">
        <f t="shared" si="6"/>
        <v>0</v>
      </c>
      <c r="AM21" s="68">
        <f t="shared" si="7"/>
        <v>0</v>
      </c>
      <c r="AN21" s="69"/>
      <c r="AO21" s="68"/>
    </row>
    <row r="22" ht="19.5" customHeight="1">
      <c r="A22" s="26"/>
      <c r="B22" s="27"/>
      <c r="C22" s="26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5"/>
      <c r="AI22" s="25"/>
      <c r="AJ22" s="24">
        <f t="shared" si="4"/>
        <v>0</v>
      </c>
      <c r="AK22" s="24">
        <f t="shared" si="5"/>
        <v>0</v>
      </c>
      <c r="AL22" s="24">
        <f t="shared" si="6"/>
        <v>0</v>
      </c>
      <c r="AM22" s="68">
        <f t="shared" si="7"/>
        <v>0</v>
      </c>
      <c r="AN22" s="69"/>
      <c r="AO22" s="68"/>
    </row>
    <row r="23" ht="19.5" customHeight="1">
      <c r="A23" s="26"/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5"/>
      <c r="AI23" s="25"/>
      <c r="AJ23" s="24">
        <f t="shared" si="4"/>
        <v>0</v>
      </c>
      <c r="AK23" s="24">
        <f t="shared" si="5"/>
        <v>0</v>
      </c>
      <c r="AL23" s="24">
        <f t="shared" si="6"/>
        <v>0</v>
      </c>
      <c r="AM23" s="68">
        <f t="shared" si="7"/>
        <v>0</v>
      </c>
      <c r="AN23" s="69"/>
      <c r="AO23" s="68"/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4">
        <f t="shared" si="4"/>
        <v>0</v>
      </c>
      <c r="AK24" s="24">
        <f t="shared" si="5"/>
        <v>0</v>
      </c>
      <c r="AL24" s="24">
        <f t="shared" si="6"/>
        <v>0</v>
      </c>
      <c r="AM24" s="68">
        <f t="shared" si="7"/>
        <v>0</v>
      </c>
      <c r="AN24" s="69"/>
      <c r="AO24" s="68"/>
    </row>
    <row r="25" ht="19.5" customHeight="1">
      <c r="A25" s="26"/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5"/>
      <c r="AI25" s="25"/>
      <c r="AJ25" s="24">
        <f t="shared" si="4"/>
        <v>0</v>
      </c>
      <c r="AK25" s="24">
        <f t="shared" si="5"/>
        <v>0</v>
      </c>
      <c r="AL25" s="24">
        <f t="shared" si="6"/>
        <v>0</v>
      </c>
      <c r="AM25" s="68">
        <f t="shared" si="7"/>
        <v>0</v>
      </c>
      <c r="AN25" s="69"/>
      <c r="AO25" s="68"/>
    </row>
    <row r="26" ht="19.5" customHeight="1">
      <c r="A26" s="26"/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5"/>
      <c r="AI26" s="25"/>
      <c r="AJ26" s="24">
        <f t="shared" si="4"/>
        <v>0</v>
      </c>
      <c r="AK26" s="24">
        <f t="shared" si="5"/>
        <v>0</v>
      </c>
      <c r="AL26" s="24">
        <f t="shared" si="6"/>
        <v>0</v>
      </c>
      <c r="AM26" s="68">
        <f t="shared" si="7"/>
        <v>0</v>
      </c>
      <c r="AN26" s="69"/>
      <c r="AO26" s="68"/>
    </row>
    <row r="27" ht="19.5" customHeight="1">
      <c r="A27" s="26"/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5"/>
      <c r="AI27" s="25"/>
      <c r="AJ27" s="24">
        <f t="shared" si="4"/>
        <v>0</v>
      </c>
      <c r="AK27" s="24">
        <f t="shared" si="5"/>
        <v>0</v>
      </c>
      <c r="AL27" s="24">
        <f t="shared" si="6"/>
        <v>0</v>
      </c>
      <c r="AM27" s="68">
        <f t="shared" si="7"/>
        <v>0</v>
      </c>
      <c r="AN27" s="69"/>
      <c r="AO27" s="68"/>
    </row>
    <row r="28" ht="19.5" customHeight="1">
      <c r="A28" s="26"/>
      <c r="B28" s="27"/>
      <c r="C28" s="26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5"/>
      <c r="AI28" s="25"/>
      <c r="AJ28" s="24">
        <f t="shared" si="4"/>
        <v>0</v>
      </c>
      <c r="AK28" s="24">
        <f t="shared" si="5"/>
        <v>0</v>
      </c>
      <c r="AL28" s="24">
        <f t="shared" si="6"/>
        <v>0</v>
      </c>
      <c r="AM28" s="68">
        <f t="shared" si="7"/>
        <v>0</v>
      </c>
      <c r="AN28" s="69"/>
      <c r="AO28" s="68"/>
    </row>
    <row r="29" ht="19.5" customHeight="1">
      <c r="A29" s="26"/>
      <c r="B29" s="27"/>
      <c r="C29" s="26"/>
      <c r="D29" s="26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5"/>
      <c r="AI29" s="25"/>
      <c r="AJ29" s="24">
        <f t="shared" si="4"/>
        <v>0</v>
      </c>
      <c r="AK29" s="24">
        <f t="shared" si="5"/>
        <v>0</v>
      </c>
      <c r="AL29" s="24">
        <f t="shared" si="6"/>
        <v>0</v>
      </c>
      <c r="AM29" s="68">
        <f t="shared" si="7"/>
        <v>0</v>
      </c>
      <c r="AN29" s="69"/>
      <c r="AO29" s="68"/>
    </row>
    <row r="30" ht="19.5" customHeight="1">
      <c r="A30" s="26"/>
      <c r="B30" s="27"/>
      <c r="C30" s="26"/>
      <c r="D30" s="26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4">
        <f t="shared" si="4"/>
        <v>0</v>
      </c>
      <c r="AK30" s="24">
        <f t="shared" si="5"/>
        <v>0</v>
      </c>
      <c r="AL30" s="24">
        <f t="shared" si="6"/>
        <v>0</v>
      </c>
      <c r="AM30" s="68">
        <f t="shared" si="7"/>
        <v>0</v>
      </c>
      <c r="AN30" s="69"/>
      <c r="AO30" s="68"/>
    </row>
    <row r="31" ht="19.5" customHeight="1">
      <c r="A31" s="26"/>
      <c r="B31" s="27"/>
      <c r="C31" s="26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5"/>
      <c r="AI31" s="25"/>
      <c r="AJ31" s="24">
        <f t="shared" si="4"/>
        <v>0</v>
      </c>
      <c r="AK31" s="24">
        <f t="shared" si="5"/>
        <v>0</v>
      </c>
      <c r="AL31" s="24">
        <f t="shared" si="6"/>
        <v>0</v>
      </c>
      <c r="AM31" s="68">
        <f t="shared" si="7"/>
        <v>0</v>
      </c>
      <c r="AN31" s="69"/>
      <c r="AO31" s="68"/>
    </row>
    <row r="32" ht="19.5" customHeight="1">
      <c r="A32" s="26"/>
      <c r="B32" s="27"/>
      <c r="C32" s="26"/>
      <c r="D32" s="26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4">
        <f t="shared" si="4"/>
        <v>0</v>
      </c>
      <c r="AK32" s="24">
        <f t="shared" si="5"/>
        <v>0</v>
      </c>
      <c r="AL32" s="24">
        <f t="shared" si="6"/>
        <v>0</v>
      </c>
      <c r="AM32" s="68">
        <f t="shared" si="7"/>
        <v>0</v>
      </c>
      <c r="AN32" s="69"/>
      <c r="AO32" s="68"/>
    </row>
    <row r="33" ht="19.5" customHeight="1">
      <c r="A33" s="26"/>
      <c r="B33" s="27"/>
      <c r="C33" s="26"/>
      <c r="D33" s="2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5"/>
      <c r="AI33" s="25"/>
      <c r="AJ33" s="24">
        <f t="shared" si="4"/>
        <v>0</v>
      </c>
      <c r="AK33" s="24">
        <f t="shared" si="5"/>
        <v>0</v>
      </c>
      <c r="AL33" s="24">
        <f t="shared" si="6"/>
        <v>0</v>
      </c>
      <c r="AM33" s="68">
        <f t="shared" si="7"/>
        <v>0</v>
      </c>
      <c r="AN33" s="69"/>
      <c r="AO33" s="68"/>
    </row>
    <row r="34" ht="19.5" customHeight="1">
      <c r="A34" s="26"/>
      <c r="B34" s="29"/>
      <c r="C34" s="28"/>
      <c r="D34" s="28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24">
        <f t="shared" si="5"/>
        <v>0</v>
      </c>
      <c r="AL34" s="31">
        <f t="shared" ref="AL34:AM34" si="8">countif($E34:$Y34,AL$3)</f>
        <v>0</v>
      </c>
      <c r="AM34" s="74">
        <f t="shared" si="8"/>
        <v>0</v>
      </c>
      <c r="AN34" s="75"/>
      <c r="AO34" s="74"/>
    </row>
    <row r="35" ht="19.5" customHeight="1">
      <c r="A35" s="26"/>
      <c r="AN35" s="76"/>
      <c r="AO35" s="77"/>
      <c r="AP35" s="76"/>
    </row>
    <row r="36" ht="19.5" hidden="1" customHeight="1">
      <c r="A36" s="28"/>
      <c r="AN36" s="76"/>
      <c r="AO36" s="77"/>
      <c r="AP36" s="76"/>
    </row>
  </sheetData>
  <mergeCells count="1">
    <mergeCell ref="E1:U1"/>
  </mergeCells>
  <dataValidations>
    <dataValidation type="list" allowBlank="1" showErrorMessage="1" sqref="E4:AF33 E34:AJ34">
      <formula1>"Present,Off,Half Day,Left"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9.63"/>
    <col customWidth="1" min="6" max="35" width="6.13"/>
    <col customWidth="1" min="36" max="36" width="9.75"/>
    <col customWidth="1" min="37" max="37" width="7.63"/>
    <col customWidth="1" min="38" max="38" width="9.38"/>
    <col customWidth="1" min="39" max="39" width="8.63"/>
    <col customWidth="1" min="40" max="41" width="9.38"/>
    <col customWidth="1" min="42" max="42" width="11.5"/>
  </cols>
  <sheetData>
    <row r="1" ht="3.0" customHeight="1">
      <c r="A1" s="5"/>
      <c r="B1" s="5"/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45717.0</v>
      </c>
      <c r="F2" s="12">
        <f t="shared" ref="F2:AI2" si="1">IF(MONTH(E2+1)=MONTH(EOMONTH($E$2,0)),E2+1,"")</f>
        <v>45718</v>
      </c>
      <c r="G2" s="12">
        <f t="shared" si="1"/>
        <v>45719</v>
      </c>
      <c r="H2" s="12">
        <f t="shared" si="1"/>
        <v>45720</v>
      </c>
      <c r="I2" s="12">
        <f t="shared" si="1"/>
        <v>45721</v>
      </c>
      <c r="J2" s="12">
        <f t="shared" si="1"/>
        <v>45722</v>
      </c>
      <c r="K2" s="12">
        <f t="shared" si="1"/>
        <v>45723</v>
      </c>
      <c r="L2" s="12">
        <f t="shared" si="1"/>
        <v>45724</v>
      </c>
      <c r="M2" s="12">
        <f t="shared" si="1"/>
        <v>45725</v>
      </c>
      <c r="N2" s="12">
        <f t="shared" si="1"/>
        <v>45726</v>
      </c>
      <c r="O2" s="12">
        <f t="shared" si="1"/>
        <v>45727</v>
      </c>
      <c r="P2" s="12">
        <f t="shared" si="1"/>
        <v>45728</v>
      </c>
      <c r="Q2" s="12">
        <f t="shared" si="1"/>
        <v>45729</v>
      </c>
      <c r="R2" s="12">
        <f t="shared" si="1"/>
        <v>45730</v>
      </c>
      <c r="S2" s="12">
        <f t="shared" si="1"/>
        <v>45731</v>
      </c>
      <c r="T2" s="12">
        <f t="shared" si="1"/>
        <v>45732</v>
      </c>
      <c r="U2" s="12">
        <f t="shared" si="1"/>
        <v>45733</v>
      </c>
      <c r="V2" s="12">
        <f t="shared" si="1"/>
        <v>45734</v>
      </c>
      <c r="W2" s="12">
        <f t="shared" si="1"/>
        <v>45735</v>
      </c>
      <c r="X2" s="12">
        <f t="shared" si="1"/>
        <v>45736</v>
      </c>
      <c r="Y2" s="12">
        <f t="shared" si="1"/>
        <v>45737</v>
      </c>
      <c r="Z2" s="12">
        <f t="shared" si="1"/>
        <v>45738</v>
      </c>
      <c r="AA2" s="12">
        <f t="shared" si="1"/>
        <v>45739</v>
      </c>
      <c r="AB2" s="12">
        <f t="shared" si="1"/>
        <v>45740</v>
      </c>
      <c r="AC2" s="12">
        <f t="shared" si="1"/>
        <v>45741</v>
      </c>
      <c r="AD2" s="12">
        <f t="shared" si="1"/>
        <v>45742</v>
      </c>
      <c r="AE2" s="12">
        <f t="shared" si="1"/>
        <v>45743</v>
      </c>
      <c r="AF2" s="12">
        <f t="shared" si="1"/>
        <v>45744</v>
      </c>
      <c r="AG2" s="12">
        <f t="shared" si="1"/>
        <v>45745</v>
      </c>
      <c r="AH2" s="12">
        <f t="shared" si="1"/>
        <v>45746</v>
      </c>
      <c r="AI2" s="12">
        <f t="shared" si="1"/>
        <v>45747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45717</v>
      </c>
      <c r="F3" s="17">
        <f t="shared" si="2"/>
        <v>45718</v>
      </c>
      <c r="G3" s="17">
        <f t="shared" si="2"/>
        <v>45719</v>
      </c>
      <c r="H3" s="17">
        <f t="shared" si="2"/>
        <v>45720</v>
      </c>
      <c r="I3" s="17">
        <f t="shared" si="2"/>
        <v>45721</v>
      </c>
      <c r="J3" s="17">
        <f t="shared" si="2"/>
        <v>45722</v>
      </c>
      <c r="K3" s="17">
        <f t="shared" si="2"/>
        <v>45723</v>
      </c>
      <c r="L3" s="17">
        <f t="shared" si="2"/>
        <v>45724</v>
      </c>
      <c r="M3" s="17">
        <f t="shared" si="2"/>
        <v>45725</v>
      </c>
      <c r="N3" s="17">
        <f t="shared" si="2"/>
        <v>45726</v>
      </c>
      <c r="O3" s="17">
        <f t="shared" si="2"/>
        <v>45727</v>
      </c>
      <c r="P3" s="17">
        <f t="shared" si="2"/>
        <v>45728</v>
      </c>
      <c r="Q3" s="17">
        <f t="shared" si="2"/>
        <v>45729</v>
      </c>
      <c r="R3" s="17">
        <f t="shared" si="2"/>
        <v>45730</v>
      </c>
      <c r="S3" s="17">
        <f t="shared" si="2"/>
        <v>45731</v>
      </c>
      <c r="T3" s="17">
        <f t="shared" si="2"/>
        <v>45732</v>
      </c>
      <c r="U3" s="17">
        <f t="shared" si="2"/>
        <v>45733</v>
      </c>
      <c r="V3" s="17">
        <f t="shared" si="2"/>
        <v>45734</v>
      </c>
      <c r="W3" s="17">
        <f t="shared" si="2"/>
        <v>45735</v>
      </c>
      <c r="X3" s="17">
        <f t="shared" si="2"/>
        <v>45736</v>
      </c>
      <c r="Y3" s="17">
        <f t="shared" si="2"/>
        <v>45737</v>
      </c>
      <c r="Z3" s="17">
        <f t="shared" si="2"/>
        <v>45738</v>
      </c>
      <c r="AA3" s="17">
        <f t="shared" si="2"/>
        <v>45739</v>
      </c>
      <c r="AB3" s="17">
        <f t="shared" si="2"/>
        <v>45740</v>
      </c>
      <c r="AC3" s="17">
        <f t="shared" si="2"/>
        <v>45741</v>
      </c>
      <c r="AD3" s="17">
        <f t="shared" si="2"/>
        <v>45742</v>
      </c>
      <c r="AE3" s="17">
        <f t="shared" si="2"/>
        <v>45743</v>
      </c>
      <c r="AF3" s="17">
        <f t="shared" si="2"/>
        <v>45744</v>
      </c>
      <c r="AG3" s="17">
        <f t="shared" si="2"/>
        <v>45745</v>
      </c>
      <c r="AH3" s="17">
        <f t="shared" si="2"/>
        <v>45746</v>
      </c>
      <c r="AI3" s="17">
        <f t="shared" si="2"/>
        <v>45747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1" si="3">B4&amp;C4&amp;D4</f>
        <v>AkhilCaptainService</v>
      </c>
      <c r="B4" s="81" t="s">
        <v>10</v>
      </c>
      <c r="C4" s="22" t="s">
        <v>11</v>
      </c>
      <c r="D4" s="22" t="s">
        <v>12</v>
      </c>
      <c r="E4" s="82" t="s">
        <v>13</v>
      </c>
      <c r="F4" s="82" t="s">
        <v>13</v>
      </c>
      <c r="G4" s="82" t="s">
        <v>13</v>
      </c>
      <c r="H4" s="82" t="s">
        <v>13</v>
      </c>
      <c r="I4" s="82" t="s">
        <v>13</v>
      </c>
      <c r="J4" s="82" t="s">
        <v>13</v>
      </c>
      <c r="K4" s="82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23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32" si="4">if(countif($E4:$AI4,AJ$3)&gt;day(EOMONTH($T$2,0)),"Error",countif($E4:$AI4,AJ$3))</f>
        <v>31</v>
      </c>
      <c r="AK4" s="24">
        <f t="shared" ref="AK4:AK33" si="5">countif($E4:$AI4,AK$3)+(sum(AL4)/2)</f>
        <v>0</v>
      </c>
      <c r="AL4" s="24">
        <f t="shared" ref="AL4:AL33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67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23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>
        <v>6000.0</v>
      </c>
      <c r="AO5" s="71"/>
      <c r="AP5">
        <f t="shared" ref="AP5:AP12" si="7">IF(AK5&lt;=2,AK5,2)</f>
        <v>0</v>
      </c>
    </row>
    <row r="6" ht="19.5" customHeight="1">
      <c r="A6" s="20" t="str">
        <f t="shared" si="3"/>
        <v>SuhailWaiterService</v>
      </c>
      <c r="B6" s="21" t="s">
        <v>21</v>
      </c>
      <c r="C6" s="22" t="s">
        <v>22</v>
      </c>
      <c r="D6" s="22" t="s">
        <v>12</v>
      </c>
      <c r="E6" s="66" t="s">
        <v>13</v>
      </c>
      <c r="F6" s="66" t="s">
        <v>13</v>
      </c>
      <c r="G6" s="66" t="s">
        <v>13</v>
      </c>
      <c r="H6" s="66" t="s">
        <v>13</v>
      </c>
      <c r="I6" s="66" t="s">
        <v>13</v>
      </c>
      <c r="J6" s="66" t="s">
        <v>13</v>
      </c>
      <c r="K6" s="66" t="s">
        <v>13</v>
      </c>
      <c r="L6" s="23" t="s">
        <v>13</v>
      </c>
      <c r="M6" s="23" t="s">
        <v>13</v>
      </c>
      <c r="N6" s="23" t="s">
        <v>13</v>
      </c>
      <c r="O6" s="23" t="s">
        <v>20</v>
      </c>
      <c r="P6" s="67" t="s">
        <v>13</v>
      </c>
      <c r="Q6" s="67" t="s">
        <v>13</v>
      </c>
      <c r="R6" s="23" t="s">
        <v>13</v>
      </c>
      <c r="S6" s="23" t="s">
        <v>13</v>
      </c>
      <c r="T6" s="23" t="s">
        <v>13</v>
      </c>
      <c r="U6" s="23" t="s">
        <v>13</v>
      </c>
      <c r="V6" s="23" t="s">
        <v>13</v>
      </c>
      <c r="W6" s="23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20</v>
      </c>
      <c r="AI6" s="23" t="s">
        <v>13</v>
      </c>
      <c r="AJ6" s="24">
        <f t="shared" si="4"/>
        <v>29</v>
      </c>
      <c r="AK6" s="24">
        <f t="shared" si="5"/>
        <v>2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31</v>
      </c>
      <c r="AN6" s="69"/>
      <c r="AO6" s="68"/>
      <c r="AP6">
        <f t="shared" si="7"/>
        <v>2</v>
      </c>
    </row>
    <row r="7" ht="19.5" customHeight="1">
      <c r="A7" s="20" t="str">
        <f t="shared" si="3"/>
        <v>WakilHelperTandoor</v>
      </c>
      <c r="B7" s="21" t="s">
        <v>24</v>
      </c>
      <c r="C7" s="22" t="s">
        <v>15</v>
      </c>
      <c r="D7" s="22" t="s">
        <v>19</v>
      </c>
      <c r="E7" s="66" t="s">
        <v>13</v>
      </c>
      <c r="F7" s="66" t="s">
        <v>13</v>
      </c>
      <c r="G7" s="66" t="s">
        <v>13</v>
      </c>
      <c r="H7" s="66" t="s">
        <v>13</v>
      </c>
      <c r="I7" s="66" t="s">
        <v>13</v>
      </c>
      <c r="J7" s="66" t="s">
        <v>13</v>
      </c>
      <c r="K7" s="66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20</v>
      </c>
      <c r="V7" s="23" t="s">
        <v>13</v>
      </c>
      <c r="W7" s="23" t="s">
        <v>13</v>
      </c>
      <c r="X7" s="23" t="s">
        <v>13</v>
      </c>
      <c r="Y7" s="23" t="s">
        <v>13</v>
      </c>
      <c r="Z7" s="23" t="s">
        <v>13</v>
      </c>
      <c r="AA7" s="67" t="s">
        <v>13</v>
      </c>
      <c r="AB7" s="67" t="s">
        <v>20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4"/>
        <v>29</v>
      </c>
      <c r="AK7" s="24">
        <f t="shared" si="5"/>
        <v>2</v>
      </c>
      <c r="AL7" s="24">
        <f t="shared" si="6"/>
        <v>0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31</v>
      </c>
      <c r="AN7" s="70">
        <v>500.0</v>
      </c>
      <c r="AO7" s="68"/>
      <c r="AP7">
        <f t="shared" si="7"/>
        <v>2</v>
      </c>
    </row>
    <row r="8" ht="19.5" customHeight="1">
      <c r="A8" s="20" t="str">
        <f t="shared" si="3"/>
        <v>VijayChefTandoor</v>
      </c>
      <c r="B8" s="21" t="s">
        <v>25</v>
      </c>
      <c r="C8" s="22" t="s">
        <v>18</v>
      </c>
      <c r="D8" s="22" t="s">
        <v>19</v>
      </c>
      <c r="E8" s="66" t="s">
        <v>13</v>
      </c>
      <c r="F8" s="67" t="s">
        <v>20</v>
      </c>
      <c r="G8" s="67" t="s">
        <v>20</v>
      </c>
      <c r="H8" s="67" t="s">
        <v>20</v>
      </c>
      <c r="I8" s="67" t="s">
        <v>20</v>
      </c>
      <c r="J8" s="67" t="s">
        <v>20</v>
      </c>
      <c r="K8" s="67" t="s">
        <v>20</v>
      </c>
      <c r="L8" s="23" t="s">
        <v>20</v>
      </c>
      <c r="M8" s="23" t="s">
        <v>20</v>
      </c>
      <c r="N8" s="23" t="s">
        <v>20</v>
      </c>
      <c r="O8" s="23" t="s">
        <v>20</v>
      </c>
      <c r="P8" s="67" t="s">
        <v>20</v>
      </c>
      <c r="Q8" s="67" t="s">
        <v>20</v>
      </c>
      <c r="R8" s="23" t="s">
        <v>20</v>
      </c>
      <c r="S8" s="23" t="s">
        <v>20</v>
      </c>
      <c r="T8" s="23" t="s">
        <v>20</v>
      </c>
      <c r="U8" s="23" t="s">
        <v>20</v>
      </c>
      <c r="V8" s="23" t="s">
        <v>20</v>
      </c>
      <c r="W8" s="23" t="s">
        <v>20</v>
      </c>
      <c r="X8" s="23" t="s">
        <v>20</v>
      </c>
      <c r="Y8" s="23" t="s">
        <v>20</v>
      </c>
      <c r="Z8" s="23" t="s">
        <v>20</v>
      </c>
      <c r="AA8" s="67" t="s">
        <v>20</v>
      </c>
      <c r="AB8" s="67" t="s">
        <v>20</v>
      </c>
      <c r="AC8" s="67" t="s">
        <v>20</v>
      </c>
      <c r="AD8" s="23" t="s">
        <v>20</v>
      </c>
      <c r="AE8" s="23" t="s">
        <v>20</v>
      </c>
      <c r="AF8" s="23" t="s">
        <v>20</v>
      </c>
      <c r="AG8" s="23" t="s">
        <v>20</v>
      </c>
      <c r="AH8" s="23" t="s">
        <v>20</v>
      </c>
      <c r="AI8" s="23" t="s">
        <v>20</v>
      </c>
      <c r="AJ8" s="24">
        <f t="shared" si="4"/>
        <v>1</v>
      </c>
      <c r="AK8" s="24">
        <f t="shared" si="5"/>
        <v>30</v>
      </c>
      <c r="AL8" s="24">
        <f t="shared" si="6"/>
        <v>0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1</v>
      </c>
      <c r="AN8" s="72"/>
      <c r="AO8" s="71"/>
      <c r="AP8">
        <f t="shared" si="7"/>
        <v>2</v>
      </c>
    </row>
    <row r="9" ht="19.5" customHeight="1">
      <c r="A9" s="20" t="str">
        <f t="shared" si="3"/>
        <v>NaseemSupervisorSupervisor</v>
      </c>
      <c r="B9" s="21" t="s">
        <v>26</v>
      </c>
      <c r="C9" s="22" t="s">
        <v>27</v>
      </c>
      <c r="D9" s="22" t="s">
        <v>27</v>
      </c>
      <c r="E9" s="66" t="s">
        <v>13</v>
      </c>
      <c r="F9" s="66" t="s">
        <v>13</v>
      </c>
      <c r="G9" s="66" t="s">
        <v>13</v>
      </c>
      <c r="H9" s="66" t="s">
        <v>13</v>
      </c>
      <c r="I9" s="66" t="s">
        <v>13</v>
      </c>
      <c r="J9" s="66" t="s">
        <v>13</v>
      </c>
      <c r="K9" s="66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67" t="s">
        <v>13</v>
      </c>
      <c r="Q9" s="67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67" t="s">
        <v>13</v>
      </c>
      <c r="AB9" s="67" t="s">
        <v>13</v>
      </c>
      <c r="AC9" s="67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4">
        <f t="shared" si="4"/>
        <v>31</v>
      </c>
      <c r="AK9" s="24">
        <f t="shared" si="5"/>
        <v>0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33</v>
      </c>
      <c r="AN9" s="69"/>
      <c r="AO9" s="68"/>
      <c r="AP9">
        <f t="shared" si="7"/>
        <v>0</v>
      </c>
    </row>
    <row r="10" ht="19.5" customHeight="1">
      <c r="A10" s="20" t="str">
        <f t="shared" si="3"/>
        <v>RajeshCombiTandoor</v>
      </c>
      <c r="B10" s="21" t="s">
        <v>28</v>
      </c>
      <c r="C10" s="22" t="s">
        <v>29</v>
      </c>
      <c r="D10" s="22" t="s">
        <v>19</v>
      </c>
      <c r="E10" s="66" t="s">
        <v>13</v>
      </c>
      <c r="F10" s="66" t="s">
        <v>13</v>
      </c>
      <c r="G10" s="66" t="s">
        <v>13</v>
      </c>
      <c r="H10" s="66" t="s">
        <v>13</v>
      </c>
      <c r="I10" s="66" t="s">
        <v>13</v>
      </c>
      <c r="J10" s="66" t="s">
        <v>13</v>
      </c>
      <c r="K10" s="66" t="s">
        <v>13</v>
      </c>
      <c r="L10" s="23" t="s">
        <v>13</v>
      </c>
      <c r="M10" s="23" t="s">
        <v>13</v>
      </c>
      <c r="N10" s="23" t="s">
        <v>20</v>
      </c>
      <c r="O10" s="23" t="s">
        <v>13</v>
      </c>
      <c r="P10" s="67" t="s">
        <v>13</v>
      </c>
      <c r="Q10" s="67" t="s">
        <v>13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67" t="s">
        <v>13</v>
      </c>
      <c r="AB10" s="67" t="s">
        <v>13</v>
      </c>
      <c r="AC10" s="67" t="s">
        <v>13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 t="s">
        <v>13</v>
      </c>
      <c r="AJ10" s="24">
        <f t="shared" si="4"/>
        <v>30</v>
      </c>
      <c r="AK10" s="24">
        <f t="shared" si="5"/>
        <v>1</v>
      </c>
      <c r="AL10" s="24">
        <f t="shared" si="6"/>
        <v>0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32</v>
      </c>
      <c r="AN10" s="70">
        <v>6000.0</v>
      </c>
      <c r="AO10" s="71"/>
      <c r="AP10">
        <f t="shared" si="7"/>
        <v>1</v>
      </c>
    </row>
    <row r="11" ht="19.5" customHeight="1">
      <c r="A11" s="20" t="str">
        <f t="shared" si="3"/>
        <v>AyubChefTava</v>
      </c>
      <c r="B11" s="21" t="s">
        <v>30</v>
      </c>
      <c r="C11" s="22" t="s">
        <v>18</v>
      </c>
      <c r="D11" s="22" t="s">
        <v>31</v>
      </c>
      <c r="E11" s="66" t="s">
        <v>13</v>
      </c>
      <c r="F11" s="66" t="s">
        <v>13</v>
      </c>
      <c r="G11" s="66" t="s">
        <v>13</v>
      </c>
      <c r="H11" s="66" t="s">
        <v>13</v>
      </c>
      <c r="I11" s="66" t="s">
        <v>13</v>
      </c>
      <c r="J11" s="66" t="s">
        <v>13</v>
      </c>
      <c r="K11" s="66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67" t="s">
        <v>13</v>
      </c>
      <c r="Q11" s="67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67" t="s">
        <v>13</v>
      </c>
      <c r="AB11" s="67" t="s">
        <v>13</v>
      </c>
      <c r="AC11" s="67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 t="s">
        <v>13</v>
      </c>
      <c r="AJ11" s="24">
        <f t="shared" si="4"/>
        <v>31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33</v>
      </c>
      <c r="AN11" s="70">
        <v>1000.0</v>
      </c>
      <c r="AO11" s="73"/>
      <c r="AP11">
        <f t="shared" si="7"/>
        <v>0</v>
      </c>
    </row>
    <row r="12" ht="19.5" customHeight="1">
      <c r="A12" s="20" t="str">
        <f t="shared" si="3"/>
        <v>AasifChefIndian</v>
      </c>
      <c r="B12" s="21" t="s">
        <v>32</v>
      </c>
      <c r="C12" s="22" t="s">
        <v>18</v>
      </c>
      <c r="D12" s="22" t="s">
        <v>33</v>
      </c>
      <c r="E12" s="66" t="s">
        <v>13</v>
      </c>
      <c r="F12" s="66" t="s">
        <v>13</v>
      </c>
      <c r="G12" s="66" t="s">
        <v>13</v>
      </c>
      <c r="H12" s="66" t="s">
        <v>13</v>
      </c>
      <c r="I12" s="66" t="s">
        <v>13</v>
      </c>
      <c r="J12" s="66" t="s">
        <v>13</v>
      </c>
      <c r="K12" s="66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67" t="s">
        <v>13</v>
      </c>
      <c r="Q12" s="67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67" t="s">
        <v>13</v>
      </c>
      <c r="AB12" s="67" t="s">
        <v>13</v>
      </c>
      <c r="AC12" s="67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 t="s">
        <v>13</v>
      </c>
      <c r="AJ12" s="24">
        <f t="shared" si="4"/>
        <v>31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33</v>
      </c>
      <c r="AN12" s="72"/>
      <c r="AO12" s="73"/>
      <c r="AP12">
        <f t="shared" si="7"/>
        <v>0</v>
      </c>
    </row>
    <row r="13" ht="19.5" customHeight="1">
      <c r="A13" s="20" t="str">
        <f t="shared" si="3"/>
        <v>MujeemHelperIndian</v>
      </c>
      <c r="B13" s="21" t="s">
        <v>41</v>
      </c>
      <c r="C13" s="22" t="s">
        <v>15</v>
      </c>
      <c r="D13" s="22" t="s">
        <v>33</v>
      </c>
      <c r="E13" s="66" t="s">
        <v>13</v>
      </c>
      <c r="F13" s="66" t="s">
        <v>13</v>
      </c>
      <c r="G13" s="66" t="s">
        <v>13</v>
      </c>
      <c r="H13" s="67" t="s">
        <v>20</v>
      </c>
      <c r="I13" s="67" t="s">
        <v>13</v>
      </c>
      <c r="J13" s="67" t="s">
        <v>13</v>
      </c>
      <c r="K13" s="67" t="s">
        <v>13</v>
      </c>
      <c r="L13" s="23" t="s">
        <v>13</v>
      </c>
      <c r="M13" s="23" t="s">
        <v>13</v>
      </c>
      <c r="N13" s="23" t="s">
        <v>20</v>
      </c>
      <c r="O13" s="23" t="s">
        <v>13</v>
      </c>
      <c r="P13" s="67" t="s">
        <v>13</v>
      </c>
      <c r="Q13" s="67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38</v>
      </c>
      <c r="Z13" s="23" t="s">
        <v>38</v>
      </c>
      <c r="AA13" s="67" t="s">
        <v>38</v>
      </c>
      <c r="AB13" s="67" t="s">
        <v>38</v>
      </c>
      <c r="AC13" s="67" t="s">
        <v>38</v>
      </c>
      <c r="AD13" s="23" t="s">
        <v>38</v>
      </c>
      <c r="AE13" s="23" t="s">
        <v>38</v>
      </c>
      <c r="AF13" s="23" t="s">
        <v>38</v>
      </c>
      <c r="AG13" s="23" t="s">
        <v>38</v>
      </c>
      <c r="AH13" s="23" t="s">
        <v>38</v>
      </c>
      <c r="AI13" s="23" t="s">
        <v>38</v>
      </c>
      <c r="AJ13" s="24">
        <f t="shared" si="4"/>
        <v>18</v>
      </c>
      <c r="AK13" s="24">
        <f t="shared" si="5"/>
        <v>2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19</v>
      </c>
      <c r="AN13" s="72"/>
      <c r="AO13" s="84">
        <v>45736.0</v>
      </c>
    </row>
    <row r="14" ht="19.5" customHeight="1">
      <c r="A14" s="20" t="str">
        <f t="shared" si="3"/>
        <v>SameerBillerService</v>
      </c>
      <c r="B14" s="21" t="s">
        <v>23</v>
      </c>
      <c r="C14" s="22" t="s">
        <v>42</v>
      </c>
      <c r="D14" s="22" t="s">
        <v>12</v>
      </c>
      <c r="E14" s="66" t="s">
        <v>20</v>
      </c>
      <c r="F14" s="66" t="s">
        <v>20</v>
      </c>
      <c r="G14" s="66" t="s">
        <v>20</v>
      </c>
      <c r="H14" s="66" t="s">
        <v>20</v>
      </c>
      <c r="I14" s="66" t="s">
        <v>20</v>
      </c>
      <c r="J14" s="66" t="s">
        <v>20</v>
      </c>
      <c r="K14" s="66" t="s">
        <v>20</v>
      </c>
      <c r="L14" s="23" t="s">
        <v>13</v>
      </c>
      <c r="M14" s="23" t="s">
        <v>13</v>
      </c>
      <c r="N14" s="23" t="s">
        <v>13</v>
      </c>
      <c r="O14" s="23" t="s">
        <v>13</v>
      </c>
      <c r="P14" s="67" t="s">
        <v>13</v>
      </c>
      <c r="Q14" s="67" t="s">
        <v>13</v>
      </c>
      <c r="R14" s="23" t="s">
        <v>13</v>
      </c>
      <c r="S14" s="23" t="s">
        <v>13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67" t="s">
        <v>13</v>
      </c>
      <c r="AB14" s="67" t="s">
        <v>13</v>
      </c>
      <c r="AC14" s="67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 t="s">
        <v>13</v>
      </c>
      <c r="AJ14" s="24">
        <f t="shared" si="4"/>
        <v>24</v>
      </c>
      <c r="AK14" s="24">
        <f t="shared" si="5"/>
        <v>7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25</v>
      </c>
      <c r="AN14" s="72"/>
      <c r="AO14" s="73"/>
    </row>
    <row r="15" ht="19.5" customHeight="1">
      <c r="A15" s="20" t="str">
        <f t="shared" si="3"/>
        <v>DanishCombiIndian</v>
      </c>
      <c r="B15" s="21" t="s">
        <v>43</v>
      </c>
      <c r="C15" s="22" t="s">
        <v>29</v>
      </c>
      <c r="D15" s="22" t="s">
        <v>33</v>
      </c>
      <c r="E15" s="66" t="s">
        <v>13</v>
      </c>
      <c r="F15" s="66" t="s">
        <v>13</v>
      </c>
      <c r="G15" s="66" t="s">
        <v>13</v>
      </c>
      <c r="H15" s="66" t="s">
        <v>13</v>
      </c>
      <c r="I15" s="66" t="s">
        <v>13</v>
      </c>
      <c r="J15" s="66" t="s">
        <v>13</v>
      </c>
      <c r="K15" s="66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67" t="s">
        <v>13</v>
      </c>
      <c r="Q15" s="67" t="s">
        <v>13</v>
      </c>
      <c r="R15" s="23" t="s">
        <v>13</v>
      </c>
      <c r="S15" s="23" t="s">
        <v>13</v>
      </c>
      <c r="T15" s="23" t="s">
        <v>13</v>
      </c>
      <c r="U15" s="23" t="s">
        <v>20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67" t="s">
        <v>13</v>
      </c>
      <c r="AB15" s="67" t="s">
        <v>20</v>
      </c>
      <c r="AC15" s="67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29</v>
      </c>
      <c r="AK15" s="24">
        <f t="shared" si="5"/>
        <v>2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31</v>
      </c>
      <c r="AN15" s="69"/>
      <c r="AO15" s="71"/>
    </row>
    <row r="16" ht="19.5" customHeight="1">
      <c r="A16" s="20" t="str">
        <f t="shared" si="3"/>
        <v>IrfanChefChinese</v>
      </c>
      <c r="B16" s="21" t="s">
        <v>44</v>
      </c>
      <c r="C16" s="22" t="s">
        <v>18</v>
      </c>
      <c r="D16" s="22" t="s">
        <v>40</v>
      </c>
      <c r="E16" s="67" t="s">
        <v>13</v>
      </c>
      <c r="F16" s="67" t="s">
        <v>13</v>
      </c>
      <c r="G16" s="67" t="s">
        <v>13</v>
      </c>
      <c r="H16" s="67" t="s">
        <v>13</v>
      </c>
      <c r="I16" s="67" t="s">
        <v>13</v>
      </c>
      <c r="J16" s="67" t="s">
        <v>13</v>
      </c>
      <c r="K16" s="67" t="s">
        <v>13</v>
      </c>
      <c r="L16" s="23" t="s">
        <v>13</v>
      </c>
      <c r="M16" s="23" t="s">
        <v>13</v>
      </c>
      <c r="N16" s="23" t="s">
        <v>20</v>
      </c>
      <c r="O16" s="23" t="s">
        <v>13</v>
      </c>
      <c r="P16" s="67" t="s">
        <v>13</v>
      </c>
      <c r="Q16" s="67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20</v>
      </c>
      <c r="W16" s="23" t="s">
        <v>13</v>
      </c>
      <c r="X16" s="23" t="s">
        <v>13</v>
      </c>
      <c r="Y16" s="23" t="s">
        <v>13</v>
      </c>
      <c r="Z16" s="23" t="s">
        <v>13</v>
      </c>
      <c r="AA16" s="67" t="s">
        <v>13</v>
      </c>
      <c r="AB16" s="67" t="s">
        <v>13</v>
      </c>
      <c r="AC16" s="67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20</v>
      </c>
      <c r="AJ16" s="24">
        <f t="shared" si="4"/>
        <v>28</v>
      </c>
      <c r="AK16" s="24">
        <f t="shared" si="5"/>
        <v>3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29</v>
      </c>
      <c r="AN16" s="69"/>
      <c r="AO16" s="71"/>
    </row>
    <row r="17" ht="19.5" customHeight="1">
      <c r="A17" s="20" t="str">
        <f t="shared" si="3"/>
        <v>KhenyaHelpermori</v>
      </c>
      <c r="B17" s="21" t="s">
        <v>48</v>
      </c>
      <c r="C17" s="22" t="s">
        <v>15</v>
      </c>
      <c r="D17" s="22" t="s">
        <v>50</v>
      </c>
      <c r="E17" s="66" t="s">
        <v>13</v>
      </c>
      <c r="F17" s="66" t="s">
        <v>13</v>
      </c>
      <c r="G17" s="66" t="s">
        <v>13</v>
      </c>
      <c r="H17" s="66" t="s">
        <v>13</v>
      </c>
      <c r="I17" s="66" t="s">
        <v>13</v>
      </c>
      <c r="J17" s="66" t="s">
        <v>13</v>
      </c>
      <c r="K17" s="66" t="s">
        <v>13</v>
      </c>
      <c r="L17" s="23" t="s">
        <v>13</v>
      </c>
      <c r="M17" s="23" t="s">
        <v>13</v>
      </c>
      <c r="N17" s="23" t="s">
        <v>13</v>
      </c>
      <c r="O17" s="23" t="s">
        <v>34</v>
      </c>
      <c r="P17" s="67" t="s">
        <v>34</v>
      </c>
      <c r="Q17" s="67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67" t="s">
        <v>13</v>
      </c>
      <c r="AB17" s="67" t="s">
        <v>13</v>
      </c>
      <c r="AC17" s="67" t="s">
        <v>34</v>
      </c>
      <c r="AD17" s="23" t="s">
        <v>34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27</v>
      </c>
      <c r="AK17" s="24">
        <f t="shared" si="5"/>
        <v>2</v>
      </c>
      <c r="AL17" s="24">
        <f t="shared" si="6"/>
        <v>4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31</v>
      </c>
      <c r="AN17" s="70">
        <v>2500.0</v>
      </c>
      <c r="AO17" s="73"/>
    </row>
    <row r="18" ht="19.5" customHeight="1">
      <c r="A18" s="20" t="str">
        <f t="shared" si="3"/>
        <v>NafeesWaiterService</v>
      </c>
      <c r="B18" s="21" t="s">
        <v>53</v>
      </c>
      <c r="C18" s="22" t="s">
        <v>22</v>
      </c>
      <c r="D18" s="22" t="s">
        <v>12</v>
      </c>
      <c r="E18" s="66" t="s">
        <v>13</v>
      </c>
      <c r="F18" s="67" t="s">
        <v>34</v>
      </c>
      <c r="G18" s="67" t="s">
        <v>20</v>
      </c>
      <c r="H18" s="67" t="s">
        <v>20</v>
      </c>
      <c r="I18" s="67" t="s">
        <v>20</v>
      </c>
      <c r="J18" s="67" t="s">
        <v>13</v>
      </c>
      <c r="K18" s="67" t="s">
        <v>13</v>
      </c>
      <c r="L18" s="23" t="s">
        <v>13</v>
      </c>
      <c r="M18" s="23" t="s">
        <v>13</v>
      </c>
      <c r="N18" s="23" t="s">
        <v>13</v>
      </c>
      <c r="O18" s="23" t="s">
        <v>13</v>
      </c>
      <c r="P18" s="23" t="s">
        <v>13</v>
      </c>
      <c r="Q18" s="23" t="s">
        <v>13</v>
      </c>
      <c r="R18" s="23" t="s">
        <v>13</v>
      </c>
      <c r="S18" s="23" t="s">
        <v>38</v>
      </c>
      <c r="T18" s="23" t="s">
        <v>38</v>
      </c>
      <c r="U18" s="23" t="s">
        <v>38</v>
      </c>
      <c r="V18" s="23" t="s">
        <v>38</v>
      </c>
      <c r="W18" s="23" t="s">
        <v>38</v>
      </c>
      <c r="X18" s="23" t="s">
        <v>38</v>
      </c>
      <c r="Y18" s="23" t="s">
        <v>38</v>
      </c>
      <c r="Z18" s="23" t="s">
        <v>38</v>
      </c>
      <c r="AA18" s="67" t="s">
        <v>38</v>
      </c>
      <c r="AB18" s="67" t="s">
        <v>38</v>
      </c>
      <c r="AC18" s="67" t="s">
        <v>38</v>
      </c>
      <c r="AD18" s="23" t="s">
        <v>38</v>
      </c>
      <c r="AE18" s="23" t="s">
        <v>38</v>
      </c>
      <c r="AF18" s="23" t="s">
        <v>38</v>
      </c>
      <c r="AG18" s="23" t="s">
        <v>38</v>
      </c>
      <c r="AH18" s="23" t="s">
        <v>38</v>
      </c>
      <c r="AI18" s="23" t="s">
        <v>38</v>
      </c>
      <c r="AJ18" s="24">
        <f t="shared" si="4"/>
        <v>10</v>
      </c>
      <c r="AK18" s="24">
        <f t="shared" si="5"/>
        <v>3.5</v>
      </c>
      <c r="AL18" s="24">
        <f t="shared" si="6"/>
        <v>1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0</v>
      </c>
      <c r="AN18" s="70"/>
      <c r="AO18" s="73">
        <v>45730.0</v>
      </c>
    </row>
    <row r="19" ht="19.5" customHeight="1">
      <c r="A19" s="20" t="str">
        <f t="shared" si="3"/>
        <v>ZuberChefShawarma</v>
      </c>
      <c r="B19" s="21" t="s">
        <v>54</v>
      </c>
      <c r="C19" s="22" t="s">
        <v>18</v>
      </c>
      <c r="D19" s="22" t="s">
        <v>55</v>
      </c>
      <c r="E19" s="66" t="s">
        <v>13</v>
      </c>
      <c r="F19" s="66" t="s">
        <v>13</v>
      </c>
      <c r="G19" s="66" t="s">
        <v>13</v>
      </c>
      <c r="H19" s="66" t="s">
        <v>13</v>
      </c>
      <c r="I19" s="66" t="s">
        <v>13</v>
      </c>
      <c r="J19" s="66" t="s">
        <v>13</v>
      </c>
      <c r="K19" s="66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67" t="s">
        <v>13</v>
      </c>
      <c r="AB19" s="67" t="s">
        <v>13</v>
      </c>
      <c r="AC19" s="67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4"/>
        <v>31</v>
      </c>
      <c r="AK19" s="24">
        <f t="shared" si="5"/>
        <v>0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33</v>
      </c>
      <c r="AN19" s="70">
        <v>2000.0</v>
      </c>
      <c r="AO19" s="68"/>
    </row>
    <row r="20" ht="19.5" customHeight="1">
      <c r="A20" s="20" t="str">
        <f t="shared" si="3"/>
        <v>JunaidCombiIndian</v>
      </c>
      <c r="B20" s="21" t="s">
        <v>57</v>
      </c>
      <c r="C20" s="22" t="s">
        <v>29</v>
      </c>
      <c r="D20" s="22" t="s">
        <v>33</v>
      </c>
      <c r="E20" s="23" t="s">
        <v>20</v>
      </c>
      <c r="F20" s="23" t="s">
        <v>13</v>
      </c>
      <c r="G20" s="23" t="s">
        <v>13</v>
      </c>
      <c r="H20" s="23" t="s">
        <v>13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23" t="s">
        <v>13</v>
      </c>
      <c r="W20" s="23" t="s">
        <v>13</v>
      </c>
      <c r="X20" s="23" t="s">
        <v>20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3" t="s">
        <v>13</v>
      </c>
      <c r="AJ20" s="24">
        <f t="shared" si="4"/>
        <v>29</v>
      </c>
      <c r="AK20" s="24">
        <f t="shared" si="5"/>
        <v>2</v>
      </c>
      <c r="AL20" s="24">
        <f t="shared" si="6"/>
        <v>0</v>
      </c>
      <c r="AM20" s="68">
        <f>IFERROR(
  (AJ20 + AL20 * 0.5) + 
  IF(DAY(EOMONTH(E$2, 0)) = 28, VLOOKUP((AJ20 + AL20 * 0.5), Lookup!G:H, 2, FALSE),
    IF(DAY(EOMONTH(E$2, 0)) = 29, VLOOKUP((AJ20 + AL20 * 0.5), Lookup!E:F, 2, FALSE),
      IF(DAY(EOMONTH(E$2, 0)) = 30, VLOOKUP((AJ20 + AL20 * 0.5), Lookup!C:D, 2, FALSE),
        IF(DAY(EOMONTH(E$2, 0)) = 31, VLOOKUP((AJ20 + AL20 * 0.5), Lookup!A:B, 2, FALSE),
          0
        )
      )
    )
  ),
0)
</f>
        <v>31</v>
      </c>
      <c r="AN20" s="70"/>
      <c r="AO20" s="68"/>
    </row>
    <row r="21" ht="19.5" customHeight="1">
      <c r="A21" s="20" t="str">
        <f t="shared" si="3"/>
        <v/>
      </c>
      <c r="B21" s="21"/>
      <c r="C21" s="22"/>
      <c r="D21" s="2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f t="shared" si="4"/>
        <v>0</v>
      </c>
      <c r="AK21" s="24">
        <f t="shared" si="5"/>
        <v>0</v>
      </c>
      <c r="AL21" s="24">
        <f t="shared" si="6"/>
        <v>0</v>
      </c>
      <c r="AM21" s="68">
        <f>IFERROR(
  (AJ21 + AL21 * 0.5) + 
  IF(DAY(EOMONTH(E$2, 0)) = 28, VLOOKUP((AJ21 + AL21 * 0.5), Lookup!G:H, 2, FALSE),
    IF(DAY(EOMONTH(E$2, 0)) = 29, VLOOKUP((AJ21 + AL21 * 0.5), Lookup!E:F, 2, FALSE),
      IF(DAY(EOMONTH(E$2, 0)) = 30, VLOOKUP((AJ21 + AL21 * 0.5), Lookup!C:D, 2, FALSE),
        IF(DAY(EOMONTH(E$2, 0)) = 31, VLOOKUP((AJ21 + AL21 * 0.5), Lookup!A:B, 2, FALSE),
          0
        )
      )
    )
  ),
0)
</f>
        <v>0</v>
      </c>
      <c r="AN21" s="70"/>
      <c r="AO21" s="68"/>
    </row>
    <row r="22" ht="19.5" customHeight="1">
      <c r="A22" s="26"/>
      <c r="B22" s="21"/>
      <c r="C22" s="20"/>
      <c r="D22" s="20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4"/>
        <v>0</v>
      </c>
      <c r="AK22" s="24">
        <f t="shared" si="5"/>
        <v>0</v>
      </c>
      <c r="AL22" s="24">
        <f t="shared" si="6"/>
        <v>0</v>
      </c>
      <c r="AM22" s="68">
        <f>IFERROR(
  (AJ22 + AL22 * 0.5) + 
  IF(DAY(EOMONTH(E$2, 0)) = 28, VLOOKUP((AJ22 + AL22 * 0.5), Lookup!G:H, 2, FALSE),
    IF(DAY(EOMONTH(E$2, 0)) = 29, VLOOKUP((AJ22 + AL22 * 0.5), Lookup!E:F, 2, FALSE),
      IF(DAY(EOMONTH(E$2, 0)) = 30, VLOOKUP((AJ22 + AL22 * 0.5), Lookup!C:D, 2, FALSE),
        IF(DAY(EOMONTH(E$2, 0)) = 31, VLOOKUP((AJ22 + AL22 * 0.5), Lookup!A:B, 2, FALSE),
          0
        )
      )
    )
  ),
0)
</f>
        <v>0</v>
      </c>
      <c r="AN22" s="69"/>
      <c r="AO22" s="68"/>
    </row>
    <row r="23" ht="19.5" customHeight="1">
      <c r="A23" s="26"/>
      <c r="B23" s="21"/>
      <c r="C23" s="20"/>
      <c r="D23" s="20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4"/>
        <v>0</v>
      </c>
      <c r="AK23" s="24">
        <f t="shared" si="5"/>
        <v>0</v>
      </c>
      <c r="AL23" s="24">
        <f t="shared" si="6"/>
        <v>0</v>
      </c>
      <c r="AM23" s="68">
        <f>IFERROR(
  (AJ23 + AL23 * 0.5) + 
  IF(DAY(EOMONTH(E$2, 0)) = 28, VLOOKUP((AJ23 + AL23 * 0.5), Lookup!G:H, 2, FALSE),
    IF(DAY(EOMONTH(E$2, 0)) = 29, VLOOKUP((AJ23 + AL23 * 0.5), Lookup!E:F, 2, FALSE),
      IF(DAY(EOMONTH(E$2, 0)) = 30, VLOOKUP((AJ23 + AL23 * 0.5), Lookup!C:D, 2, FALSE),
        IF(DAY(EOMONTH(E$2, 0)) = 31, VLOOKUP((AJ23 + AL23 * 0.5), Lookup!A:B, 2, FALSE),
          0
        )
      )
    )
  ),
0)
</f>
        <v>0</v>
      </c>
      <c r="AN23" s="69"/>
      <c r="AO23" s="68"/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4"/>
        <v>0</v>
      </c>
      <c r="AK24" s="24">
        <f t="shared" si="5"/>
        <v>0</v>
      </c>
      <c r="AL24" s="24">
        <f t="shared" si="6"/>
        <v>0</v>
      </c>
      <c r="AM24" s="68">
        <f>IFERROR(
  (AJ24 + AL24 * 0.5) + 
  IF(DAY(EOMONTH(E$2, 0)) = 28, VLOOKUP((AJ24 + AL24 * 0.5), Lookup!G:H, 2, FALSE),
    IF(DAY(EOMONTH(E$2, 0)) = 29, VLOOKUP((AJ24 + AL24 * 0.5), Lookup!E:F, 2, FALSE),
      IF(DAY(EOMONTH(E$2, 0)) = 30, VLOOKUP((AJ24 + AL24 * 0.5), Lookup!C:D, 2, FALSE),
        IF(DAY(EOMONTH(E$2, 0)) = 31, VLOOKUP((AJ24 + AL24 * 0.5), Lookup!A:B, 2, FALSE),
          0
        )
      )
    )
  ),
0)
</f>
        <v>0</v>
      </c>
      <c r="AN24" s="69"/>
      <c r="AO24" s="68"/>
    </row>
    <row r="25" ht="19.5" customHeight="1">
      <c r="A25" s="26"/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4"/>
        <v>0</v>
      </c>
      <c r="AK25" s="24">
        <f t="shared" si="5"/>
        <v>0</v>
      </c>
      <c r="AL25" s="24">
        <f t="shared" si="6"/>
        <v>0</v>
      </c>
      <c r="AM25" s="68">
        <f>IFERROR(
  (AJ25 + AL25 * 0.5) + 
  IF(DAY(EOMONTH(E$2, 0)) = 28, VLOOKUP((AJ25 + AL25 * 0.5), Lookup!G:H, 2, FALSE),
    IF(DAY(EOMONTH(E$2, 0)) = 29, VLOOKUP((AJ25 + AL25 * 0.5), Lookup!E:F, 2, FALSE),
      IF(DAY(EOMONTH(E$2, 0)) = 30, VLOOKUP((AJ25 + AL25 * 0.5), Lookup!C:D, 2, FALSE),
        IF(DAY(EOMONTH(E$2, 0)) = 31, VLOOKUP((AJ25 + AL25 * 0.5), Lookup!A:B, 2, FALSE),
          0
        )
      )
    )
  ),
0)
</f>
        <v>0</v>
      </c>
      <c r="AN25" s="69"/>
      <c r="AO25" s="68"/>
    </row>
    <row r="26" ht="19.5" customHeight="1">
      <c r="A26" s="26"/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4"/>
        <v>0</v>
      </c>
      <c r="AK26" s="24">
        <f t="shared" si="5"/>
        <v>0</v>
      </c>
      <c r="AL26" s="24">
        <f t="shared" si="6"/>
        <v>0</v>
      </c>
      <c r="AM26" s="68">
        <f>IFERROR(
  (AJ26 + AL26 * 0.5) + 
  IF(DAY(EOMONTH(E$2, 0)) = 28, VLOOKUP((AJ26 + AL26 * 0.5), Lookup!G:H, 2, FALSE),
    IF(DAY(EOMONTH(E$2, 0)) = 29, VLOOKUP((AJ26 + AL26 * 0.5), Lookup!E:F, 2, FALSE),
      IF(DAY(EOMONTH(E$2, 0)) = 30, VLOOKUP((AJ26 + AL26 * 0.5), Lookup!C:D, 2, FALSE),
        IF(DAY(EOMONTH(E$2, 0)) = 31, VLOOKUP((AJ26 + AL26 * 0.5), Lookup!A:B, 2, FALSE),
          0
        )
      )
    )
  ),
0)
</f>
        <v>0</v>
      </c>
      <c r="AN26" s="69"/>
      <c r="AO26" s="68"/>
    </row>
    <row r="27" ht="19.5" customHeight="1">
      <c r="A27" s="26"/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4"/>
        <v>0</v>
      </c>
      <c r="AK27" s="24">
        <f t="shared" si="5"/>
        <v>0</v>
      </c>
      <c r="AL27" s="24">
        <f t="shared" si="6"/>
        <v>0</v>
      </c>
      <c r="AM27" s="68">
        <f>IFERROR(
  (AJ27 + AL27 * 0.5) + 
  IF(DAY(EOMONTH(E$2, 0)) = 28, VLOOKUP((AJ27 + AL27 * 0.5), Lookup!G:H, 2, FALSE),
    IF(DAY(EOMONTH(E$2, 0)) = 29, VLOOKUP((AJ27 + AL27 * 0.5), Lookup!E:F, 2, FALSE),
      IF(DAY(EOMONTH(E$2, 0)) = 30, VLOOKUP((AJ27 + AL27 * 0.5), Lookup!C:D, 2, FALSE),
        IF(DAY(EOMONTH(E$2, 0)) = 31, VLOOKUP((AJ27 + AL27 * 0.5), Lookup!A:B, 2, FALSE),
          0
        )
      )
    )
  ),
0)
</f>
        <v>0</v>
      </c>
      <c r="AN27" s="69"/>
      <c r="AO27" s="68"/>
    </row>
    <row r="28" ht="19.5" customHeight="1">
      <c r="A28" s="26"/>
      <c r="B28" s="27"/>
      <c r="C28" s="26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>
        <f t="shared" si="4"/>
        <v>0</v>
      </c>
      <c r="AK28" s="24">
        <f t="shared" si="5"/>
        <v>0</v>
      </c>
      <c r="AL28" s="24">
        <f t="shared" si="6"/>
        <v>0</v>
      </c>
      <c r="AM28" s="68">
        <f>IFERROR(
  (AJ28 + AL28 * 0.5) + 
  IF(DAY(EOMONTH(E$2, 0)) = 28, VLOOKUP((AJ28 + AL28 * 0.5), Lookup!G:H, 2, FALSE),
    IF(DAY(EOMONTH(E$2, 0)) = 29, VLOOKUP((AJ28 + AL28 * 0.5), Lookup!E:F, 2, FALSE),
      IF(DAY(EOMONTH(E$2, 0)) = 30, VLOOKUP((AJ28 + AL28 * 0.5), Lookup!C:D, 2, FALSE),
        IF(DAY(EOMONTH(E$2, 0)) = 31, VLOOKUP((AJ28 + AL28 * 0.5), Lookup!A:B, 2, FALSE),
          0
        )
      )
    )
  ),
0)
</f>
        <v>0</v>
      </c>
      <c r="AN28" s="69"/>
      <c r="AO28" s="68"/>
    </row>
    <row r="29" ht="19.5" customHeight="1">
      <c r="A29" s="26"/>
      <c r="B29" s="27"/>
      <c r="C29" s="26"/>
      <c r="D29" s="26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>
        <f t="shared" si="4"/>
        <v>0</v>
      </c>
      <c r="AK29" s="24">
        <f t="shared" si="5"/>
        <v>0</v>
      </c>
      <c r="AL29" s="24">
        <f t="shared" si="6"/>
        <v>0</v>
      </c>
      <c r="AM29" s="68">
        <f>IFERROR(
  (AJ29 + AL29 * 0.5) + 
  IF(DAY(EOMONTH(E$2, 0)) = 28, VLOOKUP((AJ29 + AL29 * 0.5), Lookup!G:H, 2, FALSE),
    IF(DAY(EOMONTH(E$2, 0)) = 29, VLOOKUP((AJ29 + AL29 * 0.5), Lookup!E:F, 2, FALSE),
      IF(DAY(EOMONTH(E$2, 0)) = 30, VLOOKUP((AJ29 + AL29 * 0.5), Lookup!C:D, 2, FALSE),
        IF(DAY(EOMONTH(E$2, 0)) = 31, VLOOKUP((AJ29 + AL29 * 0.5), Lookup!A:B, 2, FALSE),
          0
        )
      )
    )
  ),
0)
</f>
        <v>0</v>
      </c>
      <c r="AN29" s="69"/>
      <c r="AO29" s="68"/>
    </row>
    <row r="30" ht="19.5" customHeight="1">
      <c r="A30" s="26"/>
      <c r="B30" s="27"/>
      <c r="C30" s="26"/>
      <c r="D30" s="26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>
        <f t="shared" si="4"/>
        <v>0</v>
      </c>
      <c r="AK30" s="24">
        <f t="shared" si="5"/>
        <v>0</v>
      </c>
      <c r="AL30" s="24">
        <f t="shared" si="6"/>
        <v>0</v>
      </c>
      <c r="AM30" s="68">
        <f>IFERROR(
  (AJ30 + AL30 * 0.5) + 
  IF(DAY(EOMONTH(E$2, 0)) = 28, VLOOKUP((AJ30 + AL30 * 0.5), Lookup!G:H, 2, FALSE),
    IF(DAY(EOMONTH(E$2, 0)) = 29, VLOOKUP((AJ30 + AL30 * 0.5), Lookup!E:F, 2, FALSE),
      IF(DAY(EOMONTH(E$2, 0)) = 30, VLOOKUP((AJ30 + AL30 * 0.5), Lookup!C:D, 2, FALSE),
        IF(DAY(EOMONTH(E$2, 0)) = 31, VLOOKUP((AJ30 + AL30 * 0.5), Lookup!A:B, 2, FALSE),
          0
        )
      )
    )
  ),
0)
</f>
        <v>0</v>
      </c>
      <c r="AN30" s="69"/>
      <c r="AO30" s="68"/>
    </row>
    <row r="31" ht="19.5" customHeight="1">
      <c r="A31" s="26"/>
      <c r="B31" s="27"/>
      <c r="C31" s="26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>
        <f t="shared" si="4"/>
        <v>0</v>
      </c>
      <c r="AK31" s="24">
        <f t="shared" si="5"/>
        <v>0</v>
      </c>
      <c r="AL31" s="24">
        <f t="shared" si="6"/>
        <v>0</v>
      </c>
      <c r="AM31" s="68">
        <f>IFERROR(
  (AJ31 + AL31 * 0.5) + 
  IF(DAY(EOMONTH(E$2, 0)) = 28, VLOOKUP((AJ31 + AL31 * 0.5), Lookup!G:H, 2, FALSE),
    IF(DAY(EOMONTH(E$2, 0)) = 29, VLOOKUP((AJ31 + AL31 * 0.5), Lookup!E:F, 2, FALSE),
      IF(DAY(EOMONTH(E$2, 0)) = 30, VLOOKUP((AJ31 + AL31 * 0.5), Lookup!C:D, 2, FALSE),
        IF(DAY(EOMONTH(E$2, 0)) = 31, VLOOKUP((AJ31 + AL31 * 0.5), Lookup!A:B, 2, FALSE),
          0
        )
      )
    )
  ),
0)
</f>
        <v>0</v>
      </c>
      <c r="AN31" s="69"/>
      <c r="AO31" s="68"/>
    </row>
    <row r="32" ht="19.5" customHeight="1">
      <c r="A32" s="26"/>
      <c r="B32" s="27"/>
      <c r="C32" s="26"/>
      <c r="D32" s="26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>
        <f t="shared" si="4"/>
        <v>0</v>
      </c>
      <c r="AK32" s="24">
        <f t="shared" si="5"/>
        <v>0</v>
      </c>
      <c r="AL32" s="24">
        <f t="shared" si="6"/>
        <v>0</v>
      </c>
      <c r="AM32" s="68">
        <f>IFERROR(
  (AJ32 + AL32 * 0.5) + 
  IF(DAY(EOMONTH(E$2, 0)) = 28, VLOOKUP((AJ32 + AL32 * 0.5), Lookup!G:H, 2, FALSE),
    IF(DAY(EOMONTH(E$2, 0)) = 29, VLOOKUP((AJ32 + AL32 * 0.5), Lookup!E:F, 2, FALSE),
      IF(DAY(EOMONTH(E$2, 0)) = 30, VLOOKUP((AJ32 + AL32 * 0.5), Lookup!C:D, 2, FALSE),
        IF(DAY(EOMONTH(E$2, 0)) = 31, VLOOKUP((AJ32 + AL32 * 0.5), Lookup!A:B, 2, FALSE),
          0
        )
      )
    )
  ),
0)
</f>
        <v>0</v>
      </c>
      <c r="AN32" s="69"/>
      <c r="AO32" s="68"/>
    </row>
    <row r="33" ht="19.5" customHeight="1">
      <c r="A33" s="26"/>
      <c r="B33" s="29"/>
      <c r="C33" s="28"/>
      <c r="D33" s="28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24">
        <f t="shared" si="5"/>
        <v>0</v>
      </c>
      <c r="AL33" s="24">
        <f t="shared" si="6"/>
        <v>0</v>
      </c>
      <c r="AM33" s="68">
        <f>IFERROR(
  (AJ33 + AL33 * 0.5) + 
  IF(DAY(EOMONTH(E$2, 0)) = 28, VLOOKUP((AJ33 + AL33 * 0.5), Lookup!G:H, 2, FALSE),
    IF(DAY(EOMONTH(E$2, 0)) = 29, VLOOKUP((AJ33 + AL33 * 0.5), Lookup!E:F, 2, FALSE),
      IF(DAY(EOMONTH(E$2, 0)) = 30, VLOOKUP((AJ33 + AL33 * 0.5), Lookup!C:D, 2, FALSE),
        IF(DAY(EOMONTH(E$2, 0)) = 31, VLOOKUP((AJ33 + AL33 * 0.5), Lookup!A:B, 2, FALSE),
          0
        )
      )
    )
  ),
0)
</f>
        <v>0</v>
      </c>
      <c r="AN33" s="75"/>
      <c r="AO33" s="74"/>
    </row>
    <row r="34" ht="19.5" customHeight="1">
      <c r="A34" s="26"/>
      <c r="AN34" s="76"/>
      <c r="AO34" s="77"/>
    </row>
    <row r="35" ht="19.5" customHeight="1">
      <c r="A35" s="26"/>
      <c r="AN35" s="76"/>
      <c r="AO35" s="77"/>
      <c r="AP35" s="76"/>
    </row>
    <row r="36" ht="19.5" hidden="1" customHeight="1">
      <c r="A36" s="28"/>
      <c r="AP36" s="76"/>
    </row>
  </sheetData>
  <mergeCells count="1">
    <mergeCell ref="E1:U1"/>
  </mergeCells>
  <dataValidations>
    <dataValidation type="list" allowBlank="1" showErrorMessage="1" sqref="E4:AI32 E33:AJ33">
      <formula1>"Present,Off,Half Day,Left"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1" width="11.5"/>
  </cols>
  <sheetData>
    <row r="1" ht="3.0" customHeight="1">
      <c r="A1" s="5"/>
      <c r="B1" s="5"/>
      <c r="C1" s="5"/>
      <c r="D1" s="6">
        <f>day(EOMONTH(T2,0))</f>
        <v>30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61"/>
      <c r="AN1" s="62"/>
      <c r="AO1" s="61"/>
    </row>
    <row r="2" ht="26.25" customHeight="1">
      <c r="A2" s="9"/>
      <c r="B2" s="10" t="s">
        <v>5</v>
      </c>
      <c r="C2" s="10"/>
      <c r="D2" s="10"/>
      <c r="E2" s="11">
        <v>45748.0</v>
      </c>
      <c r="F2" s="12">
        <f t="shared" ref="F2:AH2" si="1">IF(MONTH(E2+1)=MONTH(EOMONTH($E$2,0)),E2+1,"")</f>
        <v>45749</v>
      </c>
      <c r="G2" s="12">
        <f t="shared" si="1"/>
        <v>45750</v>
      </c>
      <c r="H2" s="12">
        <f t="shared" si="1"/>
        <v>45751</v>
      </c>
      <c r="I2" s="12">
        <f t="shared" si="1"/>
        <v>45752</v>
      </c>
      <c r="J2" s="12">
        <f t="shared" si="1"/>
        <v>45753</v>
      </c>
      <c r="K2" s="12">
        <f t="shared" si="1"/>
        <v>45754</v>
      </c>
      <c r="L2" s="12">
        <f t="shared" si="1"/>
        <v>45755</v>
      </c>
      <c r="M2" s="12">
        <f t="shared" si="1"/>
        <v>45756</v>
      </c>
      <c r="N2" s="12">
        <f t="shared" si="1"/>
        <v>45757</v>
      </c>
      <c r="O2" s="12">
        <f t="shared" si="1"/>
        <v>45758</v>
      </c>
      <c r="P2" s="12">
        <f t="shared" si="1"/>
        <v>45759</v>
      </c>
      <c r="Q2" s="12">
        <f t="shared" si="1"/>
        <v>45760</v>
      </c>
      <c r="R2" s="12">
        <f t="shared" si="1"/>
        <v>45761</v>
      </c>
      <c r="S2" s="12">
        <f t="shared" si="1"/>
        <v>45762</v>
      </c>
      <c r="T2" s="12">
        <f t="shared" si="1"/>
        <v>45763</v>
      </c>
      <c r="U2" s="12">
        <f t="shared" si="1"/>
        <v>45764</v>
      </c>
      <c r="V2" s="12">
        <f t="shared" si="1"/>
        <v>45765</v>
      </c>
      <c r="W2" s="12">
        <f t="shared" si="1"/>
        <v>45766</v>
      </c>
      <c r="X2" s="12">
        <f t="shared" si="1"/>
        <v>45767</v>
      </c>
      <c r="Y2" s="12">
        <f t="shared" si="1"/>
        <v>45768</v>
      </c>
      <c r="Z2" s="12">
        <f t="shared" si="1"/>
        <v>45769</v>
      </c>
      <c r="AA2" s="12">
        <f t="shared" si="1"/>
        <v>45770</v>
      </c>
      <c r="AB2" s="12">
        <f t="shared" si="1"/>
        <v>45771</v>
      </c>
      <c r="AC2" s="12">
        <f t="shared" si="1"/>
        <v>45772</v>
      </c>
      <c r="AD2" s="12">
        <f t="shared" si="1"/>
        <v>45773</v>
      </c>
      <c r="AE2" s="12">
        <f t="shared" si="1"/>
        <v>45774</v>
      </c>
      <c r="AF2" s="12">
        <f t="shared" si="1"/>
        <v>45775</v>
      </c>
      <c r="AG2" s="12">
        <f t="shared" si="1"/>
        <v>45776</v>
      </c>
      <c r="AH2" s="12">
        <f t="shared" si="1"/>
        <v>45777</v>
      </c>
      <c r="AI2" s="78" t="str">
        <f>'Attendance key'!$C7</f>
        <v>Present</v>
      </c>
      <c r="AJ2" s="78" t="str">
        <f>'Attendance key'!$C8</f>
        <v>Leave</v>
      </c>
      <c r="AK2" s="79" t="str">
        <f>'Attendance key'!$C9</f>
        <v>Half Day</v>
      </c>
      <c r="AL2" s="80" t="s">
        <v>6</v>
      </c>
      <c r="AM2" s="64"/>
      <c r="AN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H3" si="2">E2</f>
        <v>45748</v>
      </c>
      <c r="F3" s="17">
        <f t="shared" si="2"/>
        <v>45749</v>
      </c>
      <c r="G3" s="17">
        <f t="shared" si="2"/>
        <v>45750</v>
      </c>
      <c r="H3" s="17">
        <f t="shared" si="2"/>
        <v>45751</v>
      </c>
      <c r="I3" s="17">
        <f t="shared" si="2"/>
        <v>45752</v>
      </c>
      <c r="J3" s="17">
        <f t="shared" si="2"/>
        <v>45753</v>
      </c>
      <c r="K3" s="17">
        <f t="shared" si="2"/>
        <v>45754</v>
      </c>
      <c r="L3" s="17">
        <f t="shared" si="2"/>
        <v>45755</v>
      </c>
      <c r="M3" s="17">
        <f t="shared" si="2"/>
        <v>45756</v>
      </c>
      <c r="N3" s="17">
        <f t="shared" si="2"/>
        <v>45757</v>
      </c>
      <c r="O3" s="17">
        <f t="shared" si="2"/>
        <v>45758</v>
      </c>
      <c r="P3" s="17">
        <f t="shared" si="2"/>
        <v>45759</v>
      </c>
      <c r="Q3" s="17">
        <f t="shared" si="2"/>
        <v>45760</v>
      </c>
      <c r="R3" s="17">
        <f t="shared" si="2"/>
        <v>45761</v>
      </c>
      <c r="S3" s="17">
        <f t="shared" si="2"/>
        <v>45762</v>
      </c>
      <c r="T3" s="17">
        <f t="shared" si="2"/>
        <v>45763</v>
      </c>
      <c r="U3" s="17">
        <f t="shared" si="2"/>
        <v>45764</v>
      </c>
      <c r="V3" s="17">
        <f t="shared" si="2"/>
        <v>45765</v>
      </c>
      <c r="W3" s="17">
        <f t="shared" si="2"/>
        <v>45766</v>
      </c>
      <c r="X3" s="17">
        <f t="shared" si="2"/>
        <v>45767</v>
      </c>
      <c r="Y3" s="17">
        <f t="shared" si="2"/>
        <v>45768</v>
      </c>
      <c r="Z3" s="17">
        <f t="shared" si="2"/>
        <v>45769</v>
      </c>
      <c r="AA3" s="17">
        <f t="shared" si="2"/>
        <v>45770</v>
      </c>
      <c r="AB3" s="17">
        <f t="shared" si="2"/>
        <v>45771</v>
      </c>
      <c r="AC3" s="17">
        <f t="shared" si="2"/>
        <v>45772</v>
      </c>
      <c r="AD3" s="17">
        <f t="shared" si="2"/>
        <v>45773</v>
      </c>
      <c r="AE3" s="17">
        <f t="shared" si="2"/>
        <v>45774</v>
      </c>
      <c r="AF3" s="17">
        <f t="shared" si="2"/>
        <v>45775</v>
      </c>
      <c r="AG3" s="17">
        <f t="shared" si="2"/>
        <v>45776</v>
      </c>
      <c r="AH3" s="17">
        <f t="shared" si="2"/>
        <v>45777</v>
      </c>
      <c r="AI3" s="18" t="str">
        <f>'Attendance key'!$B7</f>
        <v>Present</v>
      </c>
      <c r="AJ3" s="18" t="str">
        <f>'Attendance key'!$B8</f>
        <v>Off</v>
      </c>
      <c r="AK3" s="19" t="str">
        <f>'Attendance key'!$B9</f>
        <v>Half Day</v>
      </c>
      <c r="AL3" s="65"/>
      <c r="AM3" s="65" t="s">
        <v>51</v>
      </c>
      <c r="AN3" s="65" t="s">
        <v>52</v>
      </c>
    </row>
    <row r="4" ht="19.5" customHeight="1">
      <c r="A4" s="20" t="str">
        <f t="shared" ref="A4:A17" si="3">B4&amp;C4&amp;D4</f>
        <v>AkhilCaptainService</v>
      </c>
      <c r="B4" s="2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23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24">
        <f t="shared" ref="AI4:AI28" si="4">if(countif($E4:$AH4,AI$3)&gt;day(EOMONTH($T$2,0)),"Error",countif($E4:$AH4,AI$3))</f>
        <v>30</v>
      </c>
      <c r="AJ4" s="24">
        <f t="shared" ref="AJ4:AJ28" si="5">countif($E4:$AH4,AJ$3)+(sum(AK4)/2)</f>
        <v>0</v>
      </c>
      <c r="AK4" s="24">
        <f t="shared" ref="AK4:AK28" si="6">countif($E4:$AH4,AK$3)</f>
        <v>0</v>
      </c>
      <c r="AL4" s="71">
        <v>32.0</v>
      </c>
      <c r="AM4" s="69"/>
      <c r="AN4" s="68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67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23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4">
        <f t="shared" si="4"/>
        <v>30</v>
      </c>
      <c r="AJ5" s="24">
        <f t="shared" si="5"/>
        <v>0</v>
      </c>
      <c r="AK5" s="24">
        <f t="shared" si="6"/>
        <v>0</v>
      </c>
      <c r="AL5" s="68">
        <f t="shared" ref="AL5:AL7" si="7"> AI5 + AJ5 +(AK5 / 2)
</f>
        <v>30</v>
      </c>
      <c r="AM5" s="70">
        <v>6000.0</v>
      </c>
      <c r="AN5" s="71"/>
    </row>
    <row r="6" ht="19.5" customHeight="1">
      <c r="A6" s="20" t="str">
        <f t="shared" si="3"/>
        <v>SuhailWaiterService</v>
      </c>
      <c r="B6" s="21" t="s">
        <v>21</v>
      </c>
      <c r="C6" s="22" t="s">
        <v>22</v>
      </c>
      <c r="D6" s="22" t="s">
        <v>12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67" t="s">
        <v>13</v>
      </c>
      <c r="R6" s="23" t="s">
        <v>20</v>
      </c>
      <c r="S6" s="23" t="s">
        <v>13</v>
      </c>
      <c r="T6" s="23" t="s">
        <v>13</v>
      </c>
      <c r="U6" s="23" t="s">
        <v>13</v>
      </c>
      <c r="V6" s="23" t="s">
        <v>13</v>
      </c>
      <c r="W6" s="23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20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4">
        <f t="shared" si="4"/>
        <v>28</v>
      </c>
      <c r="AJ6" s="24">
        <f t="shared" si="5"/>
        <v>2</v>
      </c>
      <c r="AK6" s="24">
        <f t="shared" si="6"/>
        <v>0</v>
      </c>
      <c r="AL6" s="68">
        <f t="shared" si="7"/>
        <v>30</v>
      </c>
      <c r="AM6" s="69"/>
      <c r="AN6" s="68"/>
    </row>
    <row r="7" ht="19.5" customHeight="1">
      <c r="A7" s="20" t="str">
        <f t="shared" si="3"/>
        <v>WakilHelperMori</v>
      </c>
      <c r="B7" s="21" t="s">
        <v>24</v>
      </c>
      <c r="C7" s="22" t="s">
        <v>15</v>
      </c>
      <c r="D7" s="22" t="s">
        <v>16</v>
      </c>
      <c r="E7" s="67" t="s">
        <v>13</v>
      </c>
      <c r="F7" s="67" t="s">
        <v>13</v>
      </c>
      <c r="G7" s="67" t="s">
        <v>13</v>
      </c>
      <c r="H7" s="67" t="s">
        <v>13</v>
      </c>
      <c r="I7" s="67" t="s">
        <v>13</v>
      </c>
      <c r="J7" s="67" t="s">
        <v>13</v>
      </c>
      <c r="K7" s="67" t="s">
        <v>13</v>
      </c>
      <c r="L7" s="23" t="s">
        <v>20</v>
      </c>
      <c r="M7" s="23" t="s">
        <v>13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23" t="s">
        <v>13</v>
      </c>
      <c r="X7" s="23" t="s">
        <v>13</v>
      </c>
      <c r="Y7" s="23" t="s">
        <v>13</v>
      </c>
      <c r="Z7" s="23" t="s">
        <v>13</v>
      </c>
      <c r="AA7" s="67" t="s">
        <v>13</v>
      </c>
      <c r="AB7" s="67" t="s">
        <v>20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4">
        <f t="shared" si="4"/>
        <v>28</v>
      </c>
      <c r="AJ7" s="24">
        <f t="shared" si="5"/>
        <v>2</v>
      </c>
      <c r="AK7" s="24">
        <f t="shared" si="6"/>
        <v>0</v>
      </c>
      <c r="AL7" s="68">
        <f t="shared" si="7"/>
        <v>30</v>
      </c>
      <c r="AM7" s="69"/>
      <c r="AN7" s="68"/>
    </row>
    <row r="8" ht="19.5" customHeight="1">
      <c r="A8" s="20" t="str">
        <f t="shared" si="3"/>
        <v>NaseemSupervisorSupervisor</v>
      </c>
      <c r="B8" s="21" t="s">
        <v>26</v>
      </c>
      <c r="C8" s="22" t="s">
        <v>27</v>
      </c>
      <c r="D8" s="22" t="s">
        <v>27</v>
      </c>
      <c r="E8" s="67" t="s">
        <v>13</v>
      </c>
      <c r="F8" s="67" t="s">
        <v>13</v>
      </c>
      <c r="G8" s="67" t="s">
        <v>13</v>
      </c>
      <c r="H8" s="67" t="s">
        <v>13</v>
      </c>
      <c r="I8" s="67" t="s">
        <v>13</v>
      </c>
      <c r="J8" s="67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67" t="s">
        <v>13</v>
      </c>
      <c r="Q8" s="67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67" t="s">
        <v>13</v>
      </c>
      <c r="AB8" s="67" t="s">
        <v>13</v>
      </c>
      <c r="AC8" s="67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4">
        <f t="shared" si="4"/>
        <v>30</v>
      </c>
      <c r="AJ8" s="24">
        <f t="shared" si="5"/>
        <v>0</v>
      </c>
      <c r="AK8" s="24">
        <f t="shared" si="6"/>
        <v>0</v>
      </c>
      <c r="AL8" s="71">
        <v>32.0</v>
      </c>
      <c r="AM8" s="70">
        <v>600.0</v>
      </c>
      <c r="AN8" s="68"/>
    </row>
    <row r="9" ht="19.5" customHeight="1">
      <c r="A9" s="20" t="str">
        <f t="shared" si="3"/>
        <v>RajeshCombiTandoor</v>
      </c>
      <c r="B9" s="21" t="s">
        <v>28</v>
      </c>
      <c r="C9" s="22" t="s">
        <v>29</v>
      </c>
      <c r="D9" s="22" t="s">
        <v>19</v>
      </c>
      <c r="E9" s="67" t="s">
        <v>13</v>
      </c>
      <c r="F9" s="67" t="s">
        <v>13</v>
      </c>
      <c r="G9" s="67" t="s">
        <v>13</v>
      </c>
      <c r="H9" s="67" t="s">
        <v>13</v>
      </c>
      <c r="I9" s="67" t="s">
        <v>13</v>
      </c>
      <c r="J9" s="67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67" t="s">
        <v>13</v>
      </c>
      <c r="Q9" s="67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67" t="s">
        <v>13</v>
      </c>
      <c r="AB9" s="67" t="s">
        <v>13</v>
      </c>
      <c r="AC9" s="67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4">
        <f t="shared" si="4"/>
        <v>30</v>
      </c>
      <c r="AJ9" s="24">
        <f t="shared" si="5"/>
        <v>0</v>
      </c>
      <c r="AK9" s="24">
        <f t="shared" si="6"/>
        <v>0</v>
      </c>
      <c r="AL9" s="71">
        <v>32.0</v>
      </c>
      <c r="AM9" s="70">
        <v>15000.0</v>
      </c>
      <c r="AN9" s="71"/>
    </row>
    <row r="10" ht="19.5" customHeight="1">
      <c r="A10" s="20" t="str">
        <f t="shared" si="3"/>
        <v>AyubChefTava</v>
      </c>
      <c r="B10" s="21" t="s">
        <v>30</v>
      </c>
      <c r="C10" s="22" t="s">
        <v>18</v>
      </c>
      <c r="D10" s="22" t="s">
        <v>31</v>
      </c>
      <c r="E10" s="67" t="s">
        <v>13</v>
      </c>
      <c r="F10" s="67" t="s">
        <v>13</v>
      </c>
      <c r="G10" s="67" t="s">
        <v>38</v>
      </c>
      <c r="H10" s="67" t="s">
        <v>38</v>
      </c>
      <c r="I10" s="67" t="s">
        <v>38</v>
      </c>
      <c r="J10" s="67" t="s">
        <v>38</v>
      </c>
      <c r="K10" s="67" t="s">
        <v>38</v>
      </c>
      <c r="L10" s="23" t="s">
        <v>38</v>
      </c>
      <c r="M10" s="23" t="s">
        <v>38</v>
      </c>
      <c r="N10" s="23" t="s">
        <v>38</v>
      </c>
      <c r="O10" s="23" t="s">
        <v>38</v>
      </c>
      <c r="P10" s="67" t="s">
        <v>38</v>
      </c>
      <c r="Q10" s="67" t="s">
        <v>38</v>
      </c>
      <c r="R10" s="23" t="s">
        <v>38</v>
      </c>
      <c r="S10" s="23" t="s">
        <v>38</v>
      </c>
      <c r="T10" s="23" t="s">
        <v>38</v>
      </c>
      <c r="U10" s="23" t="s">
        <v>38</v>
      </c>
      <c r="V10" s="23" t="s">
        <v>38</v>
      </c>
      <c r="W10" s="23" t="s">
        <v>38</v>
      </c>
      <c r="X10" s="23" t="s">
        <v>38</v>
      </c>
      <c r="Y10" s="23" t="s">
        <v>38</v>
      </c>
      <c r="Z10" s="23" t="s">
        <v>38</v>
      </c>
      <c r="AA10" s="67" t="s">
        <v>38</v>
      </c>
      <c r="AB10" s="67" t="s">
        <v>38</v>
      </c>
      <c r="AC10" s="67" t="s">
        <v>38</v>
      </c>
      <c r="AD10" s="23" t="s">
        <v>38</v>
      </c>
      <c r="AE10" s="23" t="s">
        <v>38</v>
      </c>
      <c r="AF10" s="23" t="s">
        <v>38</v>
      </c>
      <c r="AG10" s="23" t="s">
        <v>38</v>
      </c>
      <c r="AH10" s="23" t="s">
        <v>38</v>
      </c>
      <c r="AI10" s="24">
        <f t="shared" si="4"/>
        <v>2</v>
      </c>
      <c r="AJ10" s="24">
        <f t="shared" si="5"/>
        <v>0</v>
      </c>
      <c r="AK10" s="24">
        <f t="shared" si="6"/>
        <v>0</v>
      </c>
      <c r="AL10" s="68">
        <f t="shared" ref="AL10:AL12" si="8"> AI10 + AJ10 +(AK10 / 2)
</f>
        <v>2</v>
      </c>
      <c r="AM10" s="86"/>
      <c r="AN10" s="86">
        <v>45750.0</v>
      </c>
    </row>
    <row r="11" ht="19.5" customHeight="1">
      <c r="A11" s="20" t="str">
        <f t="shared" si="3"/>
        <v>AasifChefIndian</v>
      </c>
      <c r="B11" s="21" t="s">
        <v>32</v>
      </c>
      <c r="C11" s="22" t="s">
        <v>18</v>
      </c>
      <c r="D11" s="22" t="s">
        <v>33</v>
      </c>
      <c r="E11" s="67" t="s">
        <v>13</v>
      </c>
      <c r="F11" s="67" t="s">
        <v>13</v>
      </c>
      <c r="G11" s="67" t="s">
        <v>38</v>
      </c>
      <c r="H11" s="67" t="s">
        <v>38</v>
      </c>
      <c r="I11" s="67" t="s">
        <v>38</v>
      </c>
      <c r="J11" s="67" t="s">
        <v>38</v>
      </c>
      <c r="K11" s="67" t="s">
        <v>38</v>
      </c>
      <c r="L11" s="23" t="s">
        <v>38</v>
      </c>
      <c r="M11" s="23" t="s">
        <v>38</v>
      </c>
      <c r="N11" s="23" t="s">
        <v>38</v>
      </c>
      <c r="O11" s="23" t="s">
        <v>38</v>
      </c>
      <c r="P11" s="67" t="s">
        <v>38</v>
      </c>
      <c r="Q11" s="67" t="s">
        <v>38</v>
      </c>
      <c r="R11" s="23" t="s">
        <v>38</v>
      </c>
      <c r="S11" s="23" t="s">
        <v>38</v>
      </c>
      <c r="T11" s="23" t="s">
        <v>38</v>
      </c>
      <c r="U11" s="23" t="s">
        <v>38</v>
      </c>
      <c r="V11" s="23" t="s">
        <v>38</v>
      </c>
      <c r="W11" s="23" t="s">
        <v>38</v>
      </c>
      <c r="X11" s="23" t="s">
        <v>38</v>
      </c>
      <c r="Y11" s="23" t="s">
        <v>38</v>
      </c>
      <c r="Z11" s="23" t="s">
        <v>38</v>
      </c>
      <c r="AA11" s="67" t="s">
        <v>38</v>
      </c>
      <c r="AB11" s="67" t="s">
        <v>38</v>
      </c>
      <c r="AC11" s="67" t="s">
        <v>38</v>
      </c>
      <c r="AD11" s="23" t="s">
        <v>38</v>
      </c>
      <c r="AE11" s="23" t="s">
        <v>38</v>
      </c>
      <c r="AF11" s="23" t="s">
        <v>38</v>
      </c>
      <c r="AG11" s="23" t="s">
        <v>38</v>
      </c>
      <c r="AH11" s="23" t="s">
        <v>38</v>
      </c>
      <c r="AI11" s="24">
        <f t="shared" si="4"/>
        <v>2</v>
      </c>
      <c r="AJ11" s="24">
        <f t="shared" si="5"/>
        <v>0</v>
      </c>
      <c r="AK11" s="24">
        <f t="shared" si="6"/>
        <v>0</v>
      </c>
      <c r="AL11" s="68">
        <f t="shared" si="8"/>
        <v>2</v>
      </c>
      <c r="AM11" s="72"/>
      <c r="AN11" s="72">
        <v>45750.0</v>
      </c>
    </row>
    <row r="12" ht="19.5" customHeight="1">
      <c r="A12" s="20" t="str">
        <f t="shared" si="3"/>
        <v>SameerBillerService</v>
      </c>
      <c r="B12" s="21" t="s">
        <v>23</v>
      </c>
      <c r="C12" s="22" t="s">
        <v>42</v>
      </c>
      <c r="D12" s="22" t="s">
        <v>12</v>
      </c>
      <c r="E12" s="67" t="s">
        <v>13</v>
      </c>
      <c r="F12" s="67" t="s">
        <v>20</v>
      </c>
      <c r="G12" s="67" t="s">
        <v>13</v>
      </c>
      <c r="H12" s="67" t="s">
        <v>13</v>
      </c>
      <c r="I12" s="67" t="s">
        <v>13</v>
      </c>
      <c r="J12" s="67" t="s">
        <v>13</v>
      </c>
      <c r="K12" s="67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67" t="s">
        <v>13</v>
      </c>
      <c r="Q12" s="67" t="s">
        <v>13</v>
      </c>
      <c r="R12" s="23" t="s">
        <v>13</v>
      </c>
      <c r="S12" s="23" t="s">
        <v>20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67" t="s">
        <v>13</v>
      </c>
      <c r="AB12" s="67" t="s">
        <v>13</v>
      </c>
      <c r="AC12" s="67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4">
        <f t="shared" si="4"/>
        <v>28</v>
      </c>
      <c r="AJ12" s="24">
        <f t="shared" si="5"/>
        <v>2</v>
      </c>
      <c r="AK12" s="24">
        <f t="shared" si="6"/>
        <v>0</v>
      </c>
      <c r="AL12" s="68">
        <f t="shared" si="8"/>
        <v>30</v>
      </c>
      <c r="AM12" s="70">
        <v>1200.0</v>
      </c>
      <c r="AN12" s="73"/>
    </row>
    <row r="13" ht="19.5" customHeight="1">
      <c r="A13" s="20" t="str">
        <f t="shared" si="3"/>
        <v>DanishCombiIndian</v>
      </c>
      <c r="B13" s="21" t="s">
        <v>43</v>
      </c>
      <c r="C13" s="22" t="s">
        <v>29</v>
      </c>
      <c r="D13" s="22" t="s">
        <v>33</v>
      </c>
      <c r="E13" s="67" t="s">
        <v>13</v>
      </c>
      <c r="F13" s="67" t="s">
        <v>13</v>
      </c>
      <c r="G13" s="67" t="s">
        <v>13</v>
      </c>
      <c r="H13" s="67" t="s">
        <v>13</v>
      </c>
      <c r="I13" s="67" t="s">
        <v>13</v>
      </c>
      <c r="J13" s="67" t="s">
        <v>13</v>
      </c>
      <c r="K13" s="67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67" t="s">
        <v>13</v>
      </c>
      <c r="Q13" s="67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67" t="s">
        <v>13</v>
      </c>
      <c r="AB13" s="67" t="s">
        <v>34</v>
      </c>
      <c r="AC13" s="67" t="s">
        <v>13</v>
      </c>
      <c r="AD13" s="23" t="s">
        <v>13</v>
      </c>
      <c r="AE13" s="23" t="s">
        <v>13</v>
      </c>
      <c r="AF13" s="23" t="s">
        <v>34</v>
      </c>
      <c r="AG13" s="23" t="s">
        <v>13</v>
      </c>
      <c r="AH13" s="23" t="s">
        <v>13</v>
      </c>
      <c r="AI13" s="24">
        <f t="shared" si="4"/>
        <v>28</v>
      </c>
      <c r="AJ13" s="24">
        <f t="shared" si="5"/>
        <v>1</v>
      </c>
      <c r="AK13" s="24">
        <f t="shared" si="6"/>
        <v>2</v>
      </c>
      <c r="AL13" s="71">
        <v>31.0</v>
      </c>
      <c r="AM13" s="69"/>
      <c r="AN13" s="71"/>
    </row>
    <row r="14" ht="19.5" customHeight="1">
      <c r="A14" s="20" t="str">
        <f t="shared" si="3"/>
        <v>IrfanChefChinese</v>
      </c>
      <c r="B14" s="21" t="s">
        <v>44</v>
      </c>
      <c r="C14" s="22" t="s">
        <v>18</v>
      </c>
      <c r="D14" s="22" t="s">
        <v>40</v>
      </c>
      <c r="E14" s="67" t="s">
        <v>13</v>
      </c>
      <c r="F14" s="67" t="s">
        <v>13</v>
      </c>
      <c r="G14" s="67" t="s">
        <v>13</v>
      </c>
      <c r="H14" s="67" t="s">
        <v>13</v>
      </c>
      <c r="I14" s="67" t="s">
        <v>13</v>
      </c>
      <c r="J14" s="67" t="s">
        <v>13</v>
      </c>
      <c r="K14" s="67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67" t="s">
        <v>13</v>
      </c>
      <c r="Q14" s="67" t="s">
        <v>13</v>
      </c>
      <c r="R14" s="23" t="s">
        <v>13</v>
      </c>
      <c r="S14" s="23" t="s">
        <v>13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67" t="s">
        <v>13</v>
      </c>
      <c r="AB14" s="67" t="s">
        <v>13</v>
      </c>
      <c r="AC14" s="67" t="s">
        <v>13</v>
      </c>
      <c r="AD14" s="23" t="s">
        <v>13</v>
      </c>
      <c r="AE14" s="23" t="s">
        <v>13</v>
      </c>
      <c r="AF14" s="23" t="s">
        <v>20</v>
      </c>
      <c r="AG14" s="23" t="s">
        <v>20</v>
      </c>
      <c r="AH14" s="23" t="s">
        <v>13</v>
      </c>
      <c r="AI14" s="24">
        <f t="shared" si="4"/>
        <v>28</v>
      </c>
      <c r="AJ14" s="24">
        <f t="shared" si="5"/>
        <v>2</v>
      </c>
      <c r="AK14" s="24">
        <f t="shared" si="6"/>
        <v>0</v>
      </c>
      <c r="AL14" s="68">
        <f t="shared" ref="AL14:AL17" si="9"> AI14 + AJ14 +(AK14 / 2)
</f>
        <v>30</v>
      </c>
      <c r="AM14" s="69"/>
      <c r="AN14" s="71"/>
    </row>
    <row r="15" ht="19.5" customHeight="1">
      <c r="A15" s="20" t="str">
        <f t="shared" si="3"/>
        <v>KhenyaHelpermori</v>
      </c>
      <c r="B15" s="21" t="s">
        <v>48</v>
      </c>
      <c r="C15" s="22" t="s">
        <v>15</v>
      </c>
      <c r="D15" s="22" t="s">
        <v>50</v>
      </c>
      <c r="E15" s="67" t="s">
        <v>13</v>
      </c>
      <c r="F15" s="67" t="s">
        <v>13</v>
      </c>
      <c r="G15" s="67" t="s">
        <v>13</v>
      </c>
      <c r="H15" s="67" t="s">
        <v>13</v>
      </c>
      <c r="I15" s="67" t="s">
        <v>13</v>
      </c>
      <c r="J15" s="67" t="s">
        <v>13</v>
      </c>
      <c r="K15" s="67" t="s">
        <v>34</v>
      </c>
      <c r="L15" s="23" t="s">
        <v>34</v>
      </c>
      <c r="M15" s="23" t="s">
        <v>13</v>
      </c>
      <c r="N15" s="23" t="s">
        <v>13</v>
      </c>
      <c r="O15" s="23" t="s">
        <v>13</v>
      </c>
      <c r="P15" s="67" t="s">
        <v>13</v>
      </c>
      <c r="Q15" s="67" t="s">
        <v>34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34</v>
      </c>
      <c r="Z15" s="23" t="s">
        <v>13</v>
      </c>
      <c r="AA15" s="67" t="s">
        <v>13</v>
      </c>
      <c r="AB15" s="67" t="s">
        <v>13</v>
      </c>
      <c r="AC15" s="67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4">
        <f t="shared" si="4"/>
        <v>26</v>
      </c>
      <c r="AJ15" s="24">
        <f t="shared" si="5"/>
        <v>2</v>
      </c>
      <c r="AK15" s="24">
        <f t="shared" si="6"/>
        <v>4</v>
      </c>
      <c r="AL15" s="68">
        <f t="shared" si="9"/>
        <v>30</v>
      </c>
      <c r="AM15" s="70">
        <v>1000.0</v>
      </c>
      <c r="AN15" s="73"/>
    </row>
    <row r="16" ht="19.5" customHeight="1">
      <c r="A16" s="20" t="str">
        <f t="shared" si="3"/>
        <v>ZuberChefShawarma</v>
      </c>
      <c r="B16" s="21" t="s">
        <v>54</v>
      </c>
      <c r="C16" s="22" t="s">
        <v>18</v>
      </c>
      <c r="D16" s="22" t="s">
        <v>55</v>
      </c>
      <c r="E16" s="67" t="s">
        <v>13</v>
      </c>
      <c r="F16" s="67" t="s">
        <v>13</v>
      </c>
      <c r="G16" s="67" t="s">
        <v>13</v>
      </c>
      <c r="H16" s="67" t="s">
        <v>13</v>
      </c>
      <c r="I16" s="67" t="s">
        <v>13</v>
      </c>
      <c r="J16" s="67" t="s">
        <v>13</v>
      </c>
      <c r="K16" s="67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20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67" t="s">
        <v>13</v>
      </c>
      <c r="AB16" s="67" t="s">
        <v>13</v>
      </c>
      <c r="AC16" s="67" t="s">
        <v>13</v>
      </c>
      <c r="AD16" s="23" t="s">
        <v>13</v>
      </c>
      <c r="AE16" s="23" t="s">
        <v>13</v>
      </c>
      <c r="AF16" s="23" t="s">
        <v>13</v>
      </c>
      <c r="AG16" s="23" t="s">
        <v>20</v>
      </c>
      <c r="AH16" s="23" t="s">
        <v>13</v>
      </c>
      <c r="AI16" s="24">
        <f t="shared" si="4"/>
        <v>28</v>
      </c>
      <c r="AJ16" s="24">
        <f t="shared" si="5"/>
        <v>2</v>
      </c>
      <c r="AK16" s="24">
        <f t="shared" si="6"/>
        <v>0</v>
      </c>
      <c r="AL16" s="68">
        <f t="shared" si="9"/>
        <v>30</v>
      </c>
      <c r="AM16" s="70">
        <v>6000.0</v>
      </c>
      <c r="AN16" s="68"/>
    </row>
    <row r="17" ht="19.5" customHeight="1">
      <c r="A17" s="20" t="str">
        <f t="shared" si="3"/>
        <v>JunaidCombiIndian</v>
      </c>
      <c r="B17" s="21" t="s">
        <v>57</v>
      </c>
      <c r="C17" s="22" t="s">
        <v>29</v>
      </c>
      <c r="D17" s="22" t="s">
        <v>33</v>
      </c>
      <c r="E17" s="23" t="s">
        <v>13</v>
      </c>
      <c r="F17" s="23" t="s">
        <v>13</v>
      </c>
      <c r="G17" s="23" t="s">
        <v>13</v>
      </c>
      <c r="H17" s="23" t="s">
        <v>13</v>
      </c>
      <c r="I17" s="23" t="s">
        <v>13</v>
      </c>
      <c r="J17" s="23" t="s">
        <v>13</v>
      </c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20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20</v>
      </c>
      <c r="AG17" s="23" t="s">
        <v>13</v>
      </c>
      <c r="AH17" s="23" t="s">
        <v>13</v>
      </c>
      <c r="AI17" s="24">
        <f t="shared" si="4"/>
        <v>28</v>
      </c>
      <c r="AJ17" s="24">
        <f t="shared" si="5"/>
        <v>2</v>
      </c>
      <c r="AK17" s="24">
        <f t="shared" si="6"/>
        <v>0</v>
      </c>
      <c r="AL17" s="68">
        <f t="shared" si="9"/>
        <v>30</v>
      </c>
      <c r="AM17" s="70">
        <v>516.0</v>
      </c>
      <c r="AN17" s="68"/>
    </row>
    <row r="18" ht="19.5" customHeight="1">
      <c r="A18" s="26"/>
      <c r="B18" s="21" t="s">
        <v>58</v>
      </c>
      <c r="C18" s="20"/>
      <c r="D18" s="20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 t="s">
        <v>13</v>
      </c>
      <c r="U18" s="23" t="s">
        <v>13</v>
      </c>
      <c r="V18" s="23" t="s">
        <v>13</v>
      </c>
      <c r="W18" s="23" t="s">
        <v>20</v>
      </c>
      <c r="X18" s="23" t="s">
        <v>20</v>
      </c>
      <c r="Y18" s="23" t="s">
        <v>20</v>
      </c>
      <c r="Z18" s="23" t="s">
        <v>13</v>
      </c>
      <c r="AA18" s="23" t="s">
        <v>13</v>
      </c>
      <c r="AB18" s="23" t="s">
        <v>20</v>
      </c>
      <c r="AC18" s="23" t="s">
        <v>20</v>
      </c>
      <c r="AD18" s="23" t="s">
        <v>20</v>
      </c>
      <c r="AE18" s="23" t="s">
        <v>20</v>
      </c>
      <c r="AF18" s="23" t="s">
        <v>20</v>
      </c>
      <c r="AG18" s="23" t="s">
        <v>20</v>
      </c>
      <c r="AH18" s="23" t="s">
        <v>20</v>
      </c>
      <c r="AI18" s="24">
        <f t="shared" si="4"/>
        <v>5</v>
      </c>
      <c r="AJ18" s="24">
        <f t="shared" si="5"/>
        <v>10</v>
      </c>
      <c r="AK18" s="24">
        <f t="shared" si="6"/>
        <v>0</v>
      </c>
      <c r="AL18" s="71">
        <v>5.0</v>
      </c>
      <c r="AM18" s="69"/>
      <c r="AN18" s="68"/>
    </row>
    <row r="19" ht="19.5" customHeight="1">
      <c r="A19" s="26"/>
      <c r="B19" s="21"/>
      <c r="C19" s="20"/>
      <c r="D19" s="2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4">
        <f t="shared" si="4"/>
        <v>0</v>
      </c>
      <c r="AJ19" s="24">
        <f t="shared" si="5"/>
        <v>0</v>
      </c>
      <c r="AK19" s="24">
        <f t="shared" si="6"/>
        <v>0</v>
      </c>
      <c r="AL19" s="68">
        <f t="shared" ref="AL19:AL28" si="10"> AI19 + AJ19 +(AK19 / 2)
</f>
        <v>0</v>
      </c>
      <c r="AM19" s="69"/>
      <c r="AN19" s="68"/>
    </row>
    <row r="20" ht="19.5" customHeight="1">
      <c r="A20" s="26"/>
      <c r="B20" s="27"/>
      <c r="C20" s="26"/>
      <c r="D20" s="26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4">
        <f t="shared" si="4"/>
        <v>0</v>
      </c>
      <c r="AJ20" s="24">
        <f t="shared" si="5"/>
        <v>0</v>
      </c>
      <c r="AK20" s="24">
        <f t="shared" si="6"/>
        <v>0</v>
      </c>
      <c r="AL20" s="68">
        <f t="shared" si="10"/>
        <v>0</v>
      </c>
      <c r="AM20" s="69"/>
      <c r="AN20" s="68"/>
    </row>
    <row r="21" ht="19.5" customHeight="1">
      <c r="A21" s="26"/>
      <c r="B21" s="27"/>
      <c r="C21" s="26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4">
        <f t="shared" si="4"/>
        <v>0</v>
      </c>
      <c r="AJ21" s="24">
        <f t="shared" si="5"/>
        <v>0</v>
      </c>
      <c r="AK21" s="24">
        <f t="shared" si="6"/>
        <v>0</v>
      </c>
      <c r="AL21" s="68">
        <f t="shared" si="10"/>
        <v>0</v>
      </c>
      <c r="AM21" s="69"/>
      <c r="AN21" s="68"/>
    </row>
    <row r="22" ht="19.5" customHeight="1">
      <c r="A22" s="26"/>
      <c r="B22" s="27"/>
      <c r="C22" s="26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4">
        <f t="shared" si="4"/>
        <v>0</v>
      </c>
      <c r="AJ22" s="24">
        <f t="shared" si="5"/>
        <v>0</v>
      </c>
      <c r="AK22" s="24">
        <f t="shared" si="6"/>
        <v>0</v>
      </c>
      <c r="AL22" s="68">
        <f t="shared" si="10"/>
        <v>0</v>
      </c>
      <c r="AM22" s="69"/>
      <c r="AN22" s="68"/>
    </row>
    <row r="23" ht="19.5" customHeight="1">
      <c r="A23" s="26"/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4">
        <f t="shared" si="4"/>
        <v>0</v>
      </c>
      <c r="AJ23" s="24">
        <f t="shared" si="5"/>
        <v>0</v>
      </c>
      <c r="AK23" s="24">
        <f t="shared" si="6"/>
        <v>0</v>
      </c>
      <c r="AL23" s="68">
        <f t="shared" si="10"/>
        <v>0</v>
      </c>
      <c r="AM23" s="69"/>
      <c r="AN23" s="68"/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4">
        <f t="shared" si="4"/>
        <v>0</v>
      </c>
      <c r="AJ24" s="24">
        <f t="shared" si="5"/>
        <v>0</v>
      </c>
      <c r="AK24" s="24">
        <f t="shared" si="6"/>
        <v>0</v>
      </c>
      <c r="AL24" s="68">
        <f t="shared" si="10"/>
        <v>0</v>
      </c>
      <c r="AM24" s="69"/>
      <c r="AN24" s="68"/>
    </row>
    <row r="25" ht="19.5" customHeight="1">
      <c r="A25" s="26"/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4">
        <f t="shared" si="4"/>
        <v>0</v>
      </c>
      <c r="AJ25" s="24">
        <f t="shared" si="5"/>
        <v>0</v>
      </c>
      <c r="AK25" s="24">
        <f t="shared" si="6"/>
        <v>0</v>
      </c>
      <c r="AL25" s="68">
        <f t="shared" si="10"/>
        <v>0</v>
      </c>
      <c r="AM25" s="69"/>
      <c r="AN25" s="68"/>
    </row>
    <row r="26" ht="19.5" customHeight="1">
      <c r="A26" s="26"/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4">
        <f t="shared" si="4"/>
        <v>0</v>
      </c>
      <c r="AJ26" s="24">
        <f t="shared" si="5"/>
        <v>0</v>
      </c>
      <c r="AK26" s="24">
        <f t="shared" si="6"/>
        <v>0</v>
      </c>
      <c r="AL26" s="68">
        <f t="shared" si="10"/>
        <v>0</v>
      </c>
      <c r="AM26" s="69"/>
      <c r="AN26" s="68"/>
    </row>
    <row r="27" ht="19.5" customHeight="1">
      <c r="A27" s="26"/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4">
        <f t="shared" si="4"/>
        <v>0</v>
      </c>
      <c r="AJ27" s="24">
        <f t="shared" si="5"/>
        <v>0</v>
      </c>
      <c r="AK27" s="24">
        <f t="shared" si="6"/>
        <v>0</v>
      </c>
      <c r="AL27" s="68">
        <f t="shared" si="10"/>
        <v>0</v>
      </c>
      <c r="AM27" s="69"/>
      <c r="AN27" s="68"/>
    </row>
    <row r="28" ht="19.5" customHeight="1">
      <c r="A28" s="26"/>
      <c r="B28" s="27"/>
      <c r="C28" s="26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4">
        <f t="shared" si="4"/>
        <v>0</v>
      </c>
      <c r="AJ28" s="24">
        <f t="shared" si="5"/>
        <v>0</v>
      </c>
      <c r="AK28" s="24">
        <f t="shared" si="6"/>
        <v>0</v>
      </c>
      <c r="AL28" s="68">
        <f t="shared" si="10"/>
        <v>0</v>
      </c>
      <c r="AM28" s="69"/>
      <c r="AN28" s="68"/>
    </row>
    <row r="29" ht="19.5" customHeight="1">
      <c r="A29" s="26"/>
      <c r="B29" s="29"/>
      <c r="C29" s="28"/>
      <c r="D29" s="28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24">
        <f>countif($E29:$AF29,AJ$3)+(sum(AK29)/2)</f>
        <v>0</v>
      </c>
      <c r="AK29" s="31">
        <f t="shared" ref="AK29:AL29" si="11">countif($E29:$Y29,AK$3)</f>
        <v>0</v>
      </c>
      <c r="AL29" s="74">
        <f t="shared" si="11"/>
        <v>0</v>
      </c>
      <c r="AM29" s="75"/>
      <c r="AN29" s="74"/>
    </row>
    <row r="30" ht="19.5" customHeight="1">
      <c r="A30" s="26"/>
      <c r="AM30" s="76"/>
      <c r="AN30" s="77"/>
    </row>
    <row r="31" ht="19.5" customHeight="1">
      <c r="A31" s="26"/>
      <c r="AM31" s="76"/>
      <c r="AN31" s="77"/>
      <c r="AO31" s="76"/>
    </row>
    <row r="32" ht="19.5" hidden="1" customHeight="1">
      <c r="A32" s="28"/>
      <c r="AO32" s="76"/>
    </row>
  </sheetData>
  <mergeCells count="1">
    <mergeCell ref="E1:U1"/>
  </mergeCells>
  <dataValidations>
    <dataValidation type="list" allowBlank="1" showErrorMessage="1" sqref="E4:AH28 E29:AI29">
      <formula1>"Present,Off,Half Day,Left"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9.63"/>
    <col customWidth="1" min="6" max="35" width="6.13"/>
    <col customWidth="1" min="36" max="36" width="9.75"/>
    <col customWidth="1" min="37" max="37" width="7.63"/>
    <col customWidth="1" min="38" max="38" width="9.38"/>
    <col customWidth="1" min="39" max="39" width="8.63"/>
    <col customWidth="1" min="40" max="41" width="9.38"/>
    <col customWidth="1" min="42" max="42" width="11.5"/>
  </cols>
  <sheetData>
    <row r="1" ht="3.0" customHeight="1">
      <c r="A1" s="5"/>
      <c r="B1" s="5" t="s">
        <v>59</v>
      </c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45778.0</v>
      </c>
      <c r="F2" s="12">
        <f t="shared" ref="F2:AI2" si="1">IF(MONTH(E2+1)=MONTH(EOMONTH($E$2,0)),E2+1,"")</f>
        <v>45779</v>
      </c>
      <c r="G2" s="12">
        <f t="shared" si="1"/>
        <v>45780</v>
      </c>
      <c r="H2" s="12">
        <f t="shared" si="1"/>
        <v>45781</v>
      </c>
      <c r="I2" s="12">
        <f t="shared" si="1"/>
        <v>45782</v>
      </c>
      <c r="J2" s="12">
        <f t="shared" si="1"/>
        <v>45783</v>
      </c>
      <c r="K2" s="12">
        <f t="shared" si="1"/>
        <v>45784</v>
      </c>
      <c r="L2" s="12">
        <f t="shared" si="1"/>
        <v>45785</v>
      </c>
      <c r="M2" s="12">
        <f t="shared" si="1"/>
        <v>45786</v>
      </c>
      <c r="N2" s="12">
        <f t="shared" si="1"/>
        <v>45787</v>
      </c>
      <c r="O2" s="12">
        <f t="shared" si="1"/>
        <v>45788</v>
      </c>
      <c r="P2" s="12">
        <f t="shared" si="1"/>
        <v>45789</v>
      </c>
      <c r="Q2" s="12">
        <f t="shared" si="1"/>
        <v>45790</v>
      </c>
      <c r="R2" s="12">
        <f t="shared" si="1"/>
        <v>45791</v>
      </c>
      <c r="S2" s="12">
        <f t="shared" si="1"/>
        <v>45792</v>
      </c>
      <c r="T2" s="12">
        <f t="shared" si="1"/>
        <v>45793</v>
      </c>
      <c r="U2" s="12">
        <f t="shared" si="1"/>
        <v>45794</v>
      </c>
      <c r="V2" s="12">
        <f t="shared" si="1"/>
        <v>45795</v>
      </c>
      <c r="W2" s="12">
        <f t="shared" si="1"/>
        <v>45796</v>
      </c>
      <c r="X2" s="12">
        <f t="shared" si="1"/>
        <v>45797</v>
      </c>
      <c r="Y2" s="12">
        <f t="shared" si="1"/>
        <v>45798</v>
      </c>
      <c r="Z2" s="12">
        <f t="shared" si="1"/>
        <v>45799</v>
      </c>
      <c r="AA2" s="12">
        <f t="shared" si="1"/>
        <v>45800</v>
      </c>
      <c r="AB2" s="12">
        <f t="shared" si="1"/>
        <v>45801</v>
      </c>
      <c r="AC2" s="12">
        <f t="shared" si="1"/>
        <v>45802</v>
      </c>
      <c r="AD2" s="12">
        <f t="shared" si="1"/>
        <v>45803</v>
      </c>
      <c r="AE2" s="12">
        <f t="shared" si="1"/>
        <v>45804</v>
      </c>
      <c r="AF2" s="12">
        <f t="shared" si="1"/>
        <v>45805</v>
      </c>
      <c r="AG2" s="12">
        <f t="shared" si="1"/>
        <v>45806</v>
      </c>
      <c r="AH2" s="12">
        <f t="shared" si="1"/>
        <v>45807</v>
      </c>
      <c r="AI2" s="12">
        <f t="shared" si="1"/>
        <v>45808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45778</v>
      </c>
      <c r="F3" s="17">
        <f t="shared" si="2"/>
        <v>45779</v>
      </c>
      <c r="G3" s="17">
        <f t="shared" si="2"/>
        <v>45780</v>
      </c>
      <c r="H3" s="17">
        <f t="shared" si="2"/>
        <v>45781</v>
      </c>
      <c r="I3" s="17">
        <f t="shared" si="2"/>
        <v>45782</v>
      </c>
      <c r="J3" s="17">
        <f t="shared" si="2"/>
        <v>45783</v>
      </c>
      <c r="K3" s="17">
        <f t="shared" si="2"/>
        <v>45784</v>
      </c>
      <c r="L3" s="17">
        <f t="shared" si="2"/>
        <v>45785</v>
      </c>
      <c r="M3" s="17">
        <f t="shared" si="2"/>
        <v>45786</v>
      </c>
      <c r="N3" s="17">
        <f t="shared" si="2"/>
        <v>45787</v>
      </c>
      <c r="O3" s="17">
        <f t="shared" si="2"/>
        <v>45788</v>
      </c>
      <c r="P3" s="17">
        <f t="shared" si="2"/>
        <v>45789</v>
      </c>
      <c r="Q3" s="17">
        <f t="shared" si="2"/>
        <v>45790</v>
      </c>
      <c r="R3" s="17">
        <f t="shared" si="2"/>
        <v>45791</v>
      </c>
      <c r="S3" s="17">
        <f t="shared" si="2"/>
        <v>45792</v>
      </c>
      <c r="T3" s="17">
        <f t="shared" si="2"/>
        <v>45793</v>
      </c>
      <c r="U3" s="17">
        <f t="shared" si="2"/>
        <v>45794</v>
      </c>
      <c r="V3" s="17">
        <f t="shared" si="2"/>
        <v>45795</v>
      </c>
      <c r="W3" s="17">
        <f t="shared" si="2"/>
        <v>45796</v>
      </c>
      <c r="X3" s="17">
        <f t="shared" si="2"/>
        <v>45797</v>
      </c>
      <c r="Y3" s="17">
        <f t="shared" si="2"/>
        <v>45798</v>
      </c>
      <c r="Z3" s="17">
        <f t="shared" si="2"/>
        <v>45799</v>
      </c>
      <c r="AA3" s="17">
        <f t="shared" si="2"/>
        <v>45800</v>
      </c>
      <c r="AB3" s="17">
        <f t="shared" si="2"/>
        <v>45801</v>
      </c>
      <c r="AC3" s="17">
        <f t="shared" si="2"/>
        <v>45802</v>
      </c>
      <c r="AD3" s="17">
        <f t="shared" si="2"/>
        <v>45803</v>
      </c>
      <c r="AE3" s="17">
        <f t="shared" si="2"/>
        <v>45804</v>
      </c>
      <c r="AF3" s="17">
        <f t="shared" si="2"/>
        <v>45805</v>
      </c>
      <c r="AG3" s="17">
        <f t="shared" si="2"/>
        <v>45806</v>
      </c>
      <c r="AH3" s="17">
        <f t="shared" si="2"/>
        <v>45807</v>
      </c>
      <c r="AI3" s="17">
        <f t="shared" si="2"/>
        <v>45808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0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27" si="4">if(countif($E4:$AI4,AJ$3)&gt;day(EOMONTH($T$2,0)),"Error",countif($E4:$AI4,AJ$3))</f>
        <v>31</v>
      </c>
      <c r="AK4" s="24">
        <f t="shared" ref="AK4:AK28" si="5">countif($E4:$AI4,AK$3)+(sum(AL4)/2)</f>
        <v>0</v>
      </c>
      <c r="AL4" s="24">
        <f t="shared" ref="AL4:AL28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67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/>
      <c r="AO5" s="71"/>
      <c r="AP5">
        <f t="shared" ref="AP5:AP9" si="7">IF(AK5&lt;=2,AK5,2)</f>
        <v>0</v>
      </c>
    </row>
    <row r="6" ht="19.5" customHeight="1">
      <c r="A6" s="20" t="str">
        <f t="shared" si="3"/>
        <v>SuhailWaiterService</v>
      </c>
      <c r="B6" s="21" t="s">
        <v>21</v>
      </c>
      <c r="C6" s="22" t="s">
        <v>22</v>
      </c>
      <c r="D6" s="22" t="s">
        <v>12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67" t="s">
        <v>13</v>
      </c>
      <c r="R6" s="23" t="s">
        <v>13</v>
      </c>
      <c r="S6" s="23" t="s">
        <v>13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20</v>
      </c>
      <c r="AE6" s="23" t="s">
        <v>20</v>
      </c>
      <c r="AF6" s="23" t="s">
        <v>13</v>
      </c>
      <c r="AG6" s="23" t="s">
        <v>13</v>
      </c>
      <c r="AH6" s="23" t="s">
        <v>13</v>
      </c>
      <c r="AI6" s="23" t="s">
        <v>13</v>
      </c>
      <c r="AJ6" s="24">
        <f t="shared" si="4"/>
        <v>29</v>
      </c>
      <c r="AK6" s="24">
        <f t="shared" si="5"/>
        <v>2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31</v>
      </c>
      <c r="AN6" s="69"/>
      <c r="AO6" s="68"/>
      <c r="AP6">
        <f t="shared" si="7"/>
        <v>2</v>
      </c>
    </row>
    <row r="7" ht="19.5" customHeight="1">
      <c r="A7" s="20" t="str">
        <f t="shared" si="3"/>
        <v>WakilHelperMori</v>
      </c>
      <c r="B7" s="21" t="s">
        <v>24</v>
      </c>
      <c r="C7" s="22" t="s">
        <v>15</v>
      </c>
      <c r="D7" s="22" t="s">
        <v>16</v>
      </c>
      <c r="E7" s="67" t="s">
        <v>13</v>
      </c>
      <c r="F7" s="67" t="s">
        <v>13</v>
      </c>
      <c r="G7" s="67" t="s">
        <v>13</v>
      </c>
      <c r="H7" s="67" t="s">
        <v>13</v>
      </c>
      <c r="I7" s="67" t="s">
        <v>13</v>
      </c>
      <c r="J7" s="67" t="s">
        <v>13</v>
      </c>
      <c r="K7" s="67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34" t="s">
        <v>13</v>
      </c>
      <c r="X7" s="23" t="s">
        <v>13</v>
      </c>
      <c r="Y7" s="23" t="s">
        <v>13</v>
      </c>
      <c r="Z7" s="23" t="s">
        <v>20</v>
      </c>
      <c r="AA7" s="67" t="s">
        <v>13</v>
      </c>
      <c r="AB7" s="67" t="s">
        <v>13</v>
      </c>
      <c r="AC7" s="67" t="s">
        <v>13</v>
      </c>
      <c r="AD7" s="23" t="s">
        <v>13</v>
      </c>
      <c r="AE7" s="23" t="s">
        <v>20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4"/>
        <v>29</v>
      </c>
      <c r="AK7" s="24">
        <f t="shared" si="5"/>
        <v>2</v>
      </c>
      <c r="AL7" s="24">
        <f t="shared" si="6"/>
        <v>0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31</v>
      </c>
      <c r="AN7" s="70"/>
      <c r="AO7" s="68"/>
      <c r="AP7">
        <f t="shared" si="7"/>
        <v>2</v>
      </c>
    </row>
    <row r="8" ht="19.5" customHeight="1">
      <c r="A8" s="20" t="str">
        <f t="shared" si="3"/>
        <v>NaseemSupervisorSupervisor</v>
      </c>
      <c r="B8" s="21" t="s">
        <v>26</v>
      </c>
      <c r="C8" s="22" t="s">
        <v>27</v>
      </c>
      <c r="D8" s="22" t="s">
        <v>27</v>
      </c>
      <c r="E8" s="67" t="s">
        <v>13</v>
      </c>
      <c r="F8" s="67" t="s">
        <v>13</v>
      </c>
      <c r="G8" s="67" t="s">
        <v>13</v>
      </c>
      <c r="H8" s="67" t="s">
        <v>13</v>
      </c>
      <c r="I8" s="67" t="s">
        <v>13</v>
      </c>
      <c r="J8" s="67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67" t="s">
        <v>13</v>
      </c>
      <c r="Q8" s="67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34" t="s">
        <v>13</v>
      </c>
      <c r="X8" s="23" t="s">
        <v>13</v>
      </c>
      <c r="Y8" s="23" t="s">
        <v>13</v>
      </c>
      <c r="Z8" s="23" t="s">
        <v>13</v>
      </c>
      <c r="AA8" s="67" t="s">
        <v>13</v>
      </c>
      <c r="AB8" s="67" t="s">
        <v>13</v>
      </c>
      <c r="AC8" s="67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31</v>
      </c>
      <c r="AK8" s="24">
        <f t="shared" si="5"/>
        <v>0</v>
      </c>
      <c r="AL8" s="24">
        <f t="shared" si="6"/>
        <v>0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33</v>
      </c>
      <c r="AN8" s="69"/>
      <c r="AO8" s="68"/>
      <c r="AP8">
        <f t="shared" si="7"/>
        <v>0</v>
      </c>
    </row>
    <row r="9" ht="19.5" customHeight="1">
      <c r="A9" s="20" t="str">
        <f t="shared" si="3"/>
        <v>RajeshCombiTandoor</v>
      </c>
      <c r="B9" s="21" t="s">
        <v>28</v>
      </c>
      <c r="C9" s="22" t="s">
        <v>29</v>
      </c>
      <c r="D9" s="22" t="s">
        <v>19</v>
      </c>
      <c r="E9" s="67" t="s">
        <v>13</v>
      </c>
      <c r="F9" s="67" t="s">
        <v>13</v>
      </c>
      <c r="G9" s="67" t="s">
        <v>13</v>
      </c>
      <c r="H9" s="67" t="s">
        <v>13</v>
      </c>
      <c r="I9" s="67" t="s">
        <v>13</v>
      </c>
      <c r="J9" s="67" t="s">
        <v>38</v>
      </c>
      <c r="K9" s="67" t="s">
        <v>38</v>
      </c>
      <c r="L9" s="23" t="s">
        <v>38</v>
      </c>
      <c r="M9" s="23" t="s">
        <v>38</v>
      </c>
      <c r="N9" s="23" t="s">
        <v>38</v>
      </c>
      <c r="O9" s="23" t="s">
        <v>38</v>
      </c>
      <c r="P9" s="67" t="s">
        <v>38</v>
      </c>
      <c r="Q9" s="67" t="s">
        <v>38</v>
      </c>
      <c r="R9" s="23" t="s">
        <v>38</v>
      </c>
      <c r="S9" s="23" t="s">
        <v>38</v>
      </c>
      <c r="T9" s="23" t="s">
        <v>38</v>
      </c>
      <c r="U9" s="23" t="s">
        <v>38</v>
      </c>
      <c r="V9" s="23" t="s">
        <v>38</v>
      </c>
      <c r="W9" s="34" t="s">
        <v>38</v>
      </c>
      <c r="X9" s="23" t="s">
        <v>38</v>
      </c>
      <c r="Y9" s="23" t="s">
        <v>38</v>
      </c>
      <c r="Z9" s="23" t="s">
        <v>38</v>
      </c>
      <c r="AA9" s="67" t="s">
        <v>38</v>
      </c>
      <c r="AB9" s="67" t="s">
        <v>38</v>
      </c>
      <c r="AC9" s="67" t="s">
        <v>38</v>
      </c>
      <c r="AD9" s="23" t="s">
        <v>38</v>
      </c>
      <c r="AE9" s="23" t="s">
        <v>38</v>
      </c>
      <c r="AF9" s="23" t="s">
        <v>38</v>
      </c>
      <c r="AG9" s="23" t="s">
        <v>38</v>
      </c>
      <c r="AH9" s="23" t="s">
        <v>38</v>
      </c>
      <c r="AI9" s="23" t="s">
        <v>38</v>
      </c>
      <c r="AJ9" s="24">
        <f t="shared" si="4"/>
        <v>5</v>
      </c>
      <c r="AK9" s="24">
        <f t="shared" si="5"/>
        <v>0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5</v>
      </c>
      <c r="AN9" s="86"/>
      <c r="AO9" s="87">
        <v>45782.0</v>
      </c>
      <c r="AP9">
        <f t="shared" si="7"/>
        <v>0</v>
      </c>
    </row>
    <row r="10" ht="19.5" customHeight="1">
      <c r="A10" s="20" t="str">
        <f t="shared" si="3"/>
        <v>SameerBillerService</v>
      </c>
      <c r="B10" s="21" t="s">
        <v>23</v>
      </c>
      <c r="C10" s="22" t="s">
        <v>42</v>
      </c>
      <c r="D10" s="22" t="s">
        <v>12</v>
      </c>
      <c r="E10" s="67" t="s">
        <v>13</v>
      </c>
      <c r="F10" s="67" t="s">
        <v>13</v>
      </c>
      <c r="G10" s="67" t="s">
        <v>13</v>
      </c>
      <c r="H10" s="67" t="s">
        <v>13</v>
      </c>
      <c r="I10" s="67" t="s">
        <v>13</v>
      </c>
      <c r="J10" s="67" t="s">
        <v>13</v>
      </c>
      <c r="K10" s="67" t="s">
        <v>20</v>
      </c>
      <c r="L10" s="23" t="s">
        <v>13</v>
      </c>
      <c r="M10" s="23" t="s">
        <v>13</v>
      </c>
      <c r="N10" s="23" t="s">
        <v>13</v>
      </c>
      <c r="O10" s="23" t="s">
        <v>13</v>
      </c>
      <c r="P10" s="67" t="s">
        <v>13</v>
      </c>
      <c r="Q10" s="67" t="s">
        <v>13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34" t="s">
        <v>13</v>
      </c>
      <c r="X10" s="23" t="s">
        <v>20</v>
      </c>
      <c r="Y10" s="23" t="s">
        <v>13</v>
      </c>
      <c r="Z10" s="23" t="s">
        <v>13</v>
      </c>
      <c r="AA10" s="67" t="s">
        <v>13</v>
      </c>
      <c r="AB10" s="67" t="s">
        <v>13</v>
      </c>
      <c r="AC10" s="67" t="s">
        <v>13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 t="s">
        <v>13</v>
      </c>
      <c r="AJ10" s="24">
        <f t="shared" si="4"/>
        <v>29</v>
      </c>
      <c r="AK10" s="24">
        <f t="shared" si="5"/>
        <v>2</v>
      </c>
      <c r="AL10" s="24">
        <f t="shared" si="6"/>
        <v>0</v>
      </c>
      <c r="AM10" s="71">
        <v>31.0</v>
      </c>
      <c r="AN10" s="70">
        <v>1200.0</v>
      </c>
      <c r="AO10" s="73"/>
    </row>
    <row r="11" ht="19.5" customHeight="1">
      <c r="A11" s="20" t="str">
        <f t="shared" si="3"/>
        <v>DanishCombiIndian</v>
      </c>
      <c r="B11" s="21" t="s">
        <v>43</v>
      </c>
      <c r="C11" s="22" t="s">
        <v>29</v>
      </c>
      <c r="D11" s="22" t="s">
        <v>33</v>
      </c>
      <c r="E11" s="67" t="s">
        <v>13</v>
      </c>
      <c r="F11" s="67" t="s">
        <v>13</v>
      </c>
      <c r="G11" s="67" t="s">
        <v>13</v>
      </c>
      <c r="H11" s="67" t="s">
        <v>13</v>
      </c>
      <c r="I11" s="67" t="s">
        <v>13</v>
      </c>
      <c r="J11" s="67" t="s">
        <v>13</v>
      </c>
      <c r="K11" s="67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67" t="s">
        <v>13</v>
      </c>
      <c r="Q11" s="67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34" t="s">
        <v>13</v>
      </c>
      <c r="X11" s="23" t="s">
        <v>13</v>
      </c>
      <c r="Y11" s="23" t="s">
        <v>13</v>
      </c>
      <c r="Z11" s="23" t="s">
        <v>13</v>
      </c>
      <c r="AA11" s="67" t="s">
        <v>13</v>
      </c>
      <c r="AB11" s="67" t="s">
        <v>13</v>
      </c>
      <c r="AC11" s="67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 t="s">
        <v>13</v>
      </c>
      <c r="AJ11" s="24">
        <f t="shared" si="4"/>
        <v>31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33</v>
      </c>
      <c r="AN11" s="69"/>
      <c r="AO11" s="71"/>
    </row>
    <row r="12" ht="19.5" customHeight="1">
      <c r="A12" s="20" t="str">
        <f t="shared" si="3"/>
        <v>IrfanChefChinese</v>
      </c>
      <c r="B12" s="21" t="s">
        <v>44</v>
      </c>
      <c r="C12" s="22" t="s">
        <v>18</v>
      </c>
      <c r="D12" s="22" t="s">
        <v>40</v>
      </c>
      <c r="E12" s="67" t="s">
        <v>13</v>
      </c>
      <c r="F12" s="67" t="s">
        <v>13</v>
      </c>
      <c r="G12" s="67" t="s">
        <v>13</v>
      </c>
      <c r="H12" s="67" t="s">
        <v>13</v>
      </c>
      <c r="I12" s="67" t="s">
        <v>13</v>
      </c>
      <c r="J12" s="67" t="s">
        <v>13</v>
      </c>
      <c r="K12" s="67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67" t="s">
        <v>13</v>
      </c>
      <c r="Q12" s="67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34" t="s">
        <v>20</v>
      </c>
      <c r="X12" s="23" t="s">
        <v>13</v>
      </c>
      <c r="Y12" s="23" t="s">
        <v>13</v>
      </c>
      <c r="Z12" s="23" t="s">
        <v>13</v>
      </c>
      <c r="AA12" s="67" t="s">
        <v>13</v>
      </c>
      <c r="AB12" s="67" t="s">
        <v>13</v>
      </c>
      <c r="AC12" s="67" t="s">
        <v>13</v>
      </c>
      <c r="AD12" s="23" t="s">
        <v>13</v>
      </c>
      <c r="AE12" s="23" t="s">
        <v>13</v>
      </c>
      <c r="AF12" s="23" t="s">
        <v>20</v>
      </c>
      <c r="AG12" s="23" t="s">
        <v>13</v>
      </c>
      <c r="AH12" s="23" t="s">
        <v>13</v>
      </c>
      <c r="AI12" s="23" t="s">
        <v>13</v>
      </c>
      <c r="AJ12" s="24">
        <f t="shared" si="4"/>
        <v>29</v>
      </c>
      <c r="AK12" s="24">
        <f t="shared" si="5"/>
        <v>2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31</v>
      </c>
      <c r="AN12" s="69"/>
      <c r="AO12" s="71"/>
    </row>
    <row r="13" ht="19.5" customHeight="1">
      <c r="A13" s="20" t="str">
        <f t="shared" si="3"/>
        <v>KhenyaHelpermori</v>
      </c>
      <c r="B13" s="21" t="s">
        <v>48</v>
      </c>
      <c r="C13" s="22" t="s">
        <v>15</v>
      </c>
      <c r="D13" s="22" t="s">
        <v>50</v>
      </c>
      <c r="E13" s="67" t="s">
        <v>13</v>
      </c>
      <c r="F13" s="67" t="s">
        <v>13</v>
      </c>
      <c r="G13" s="67" t="s">
        <v>13</v>
      </c>
      <c r="H13" s="67" t="s">
        <v>13</v>
      </c>
      <c r="I13" s="67" t="s">
        <v>13</v>
      </c>
      <c r="J13" s="67" t="s">
        <v>13</v>
      </c>
      <c r="K13" s="67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67" t="s">
        <v>34</v>
      </c>
      <c r="Q13" s="67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34" t="s">
        <v>13</v>
      </c>
      <c r="X13" s="23" t="s">
        <v>13</v>
      </c>
      <c r="Y13" s="23" t="s">
        <v>34</v>
      </c>
      <c r="Z13" s="23" t="s">
        <v>13</v>
      </c>
      <c r="AA13" s="67" t="s">
        <v>13</v>
      </c>
      <c r="AB13" s="67" t="s">
        <v>13</v>
      </c>
      <c r="AC13" s="67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 t="s">
        <v>13</v>
      </c>
      <c r="AJ13" s="24">
        <f t="shared" si="4"/>
        <v>29</v>
      </c>
      <c r="AK13" s="24">
        <f t="shared" si="5"/>
        <v>1</v>
      </c>
      <c r="AL13" s="24">
        <f t="shared" si="6"/>
        <v>2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32</v>
      </c>
      <c r="AN13" s="70">
        <v>2200.0</v>
      </c>
      <c r="AO13" s="73"/>
    </row>
    <row r="14" ht="19.5" customHeight="1">
      <c r="A14" s="20" t="str">
        <f t="shared" si="3"/>
        <v>ZuberChefShawarma</v>
      </c>
      <c r="B14" s="21" t="s">
        <v>54</v>
      </c>
      <c r="C14" s="22" t="s">
        <v>18</v>
      </c>
      <c r="D14" s="22" t="s">
        <v>55</v>
      </c>
      <c r="E14" s="67" t="s">
        <v>13</v>
      </c>
      <c r="F14" s="67" t="s">
        <v>13</v>
      </c>
      <c r="G14" s="67" t="s">
        <v>13</v>
      </c>
      <c r="H14" s="67" t="s">
        <v>13</v>
      </c>
      <c r="I14" s="67" t="s">
        <v>13</v>
      </c>
      <c r="J14" s="67" t="s">
        <v>13</v>
      </c>
      <c r="K14" s="67" t="s">
        <v>13</v>
      </c>
      <c r="L14" s="23" t="s">
        <v>38</v>
      </c>
      <c r="M14" s="23" t="s">
        <v>38</v>
      </c>
      <c r="N14" s="23" t="s">
        <v>38</v>
      </c>
      <c r="O14" s="23" t="s">
        <v>38</v>
      </c>
      <c r="P14" s="23" t="s">
        <v>38</v>
      </c>
      <c r="Q14" s="23" t="s">
        <v>38</v>
      </c>
      <c r="R14" s="23" t="s">
        <v>38</v>
      </c>
      <c r="S14" s="23" t="s">
        <v>38</v>
      </c>
      <c r="T14" s="23" t="s">
        <v>38</v>
      </c>
      <c r="U14" s="23" t="s">
        <v>38</v>
      </c>
      <c r="V14" s="23" t="s">
        <v>38</v>
      </c>
      <c r="W14" s="34" t="s">
        <v>38</v>
      </c>
      <c r="X14" s="23" t="s">
        <v>38</v>
      </c>
      <c r="Y14" s="23" t="s">
        <v>38</v>
      </c>
      <c r="Z14" s="23" t="s">
        <v>38</v>
      </c>
      <c r="AA14" s="67" t="s">
        <v>38</v>
      </c>
      <c r="AB14" s="67" t="s">
        <v>38</v>
      </c>
      <c r="AC14" s="67" t="s">
        <v>38</v>
      </c>
      <c r="AD14" s="23" t="s">
        <v>38</v>
      </c>
      <c r="AE14" s="23" t="s">
        <v>38</v>
      </c>
      <c r="AF14" s="23" t="s">
        <v>38</v>
      </c>
      <c r="AG14" s="23" t="s">
        <v>38</v>
      </c>
      <c r="AH14" s="23" t="s">
        <v>38</v>
      </c>
      <c r="AI14" s="23" t="s">
        <v>38</v>
      </c>
      <c r="AJ14" s="24">
        <f t="shared" si="4"/>
        <v>7</v>
      </c>
      <c r="AK14" s="24">
        <f t="shared" si="5"/>
        <v>0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7</v>
      </c>
      <c r="AN14" s="70"/>
      <c r="AO14" s="68"/>
    </row>
    <row r="15" ht="19.5" customHeight="1">
      <c r="A15" s="20" t="str">
        <f t="shared" si="3"/>
        <v>JunaidCombiIndian</v>
      </c>
      <c r="B15" s="21" t="s">
        <v>57</v>
      </c>
      <c r="C15" s="22" t="s">
        <v>29</v>
      </c>
      <c r="D15" s="22" t="s">
        <v>33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38</v>
      </c>
      <c r="K15" s="23" t="s">
        <v>38</v>
      </c>
      <c r="L15" s="23" t="s">
        <v>38</v>
      </c>
      <c r="M15" s="23" t="s">
        <v>38</v>
      </c>
      <c r="N15" s="23" t="s">
        <v>38</v>
      </c>
      <c r="O15" s="23" t="s">
        <v>38</v>
      </c>
      <c r="P15" s="23" t="s">
        <v>38</v>
      </c>
      <c r="Q15" s="23" t="s">
        <v>38</v>
      </c>
      <c r="R15" s="23" t="s">
        <v>38</v>
      </c>
      <c r="S15" s="23" t="s">
        <v>38</v>
      </c>
      <c r="T15" s="23" t="s">
        <v>38</v>
      </c>
      <c r="U15" s="23" t="s">
        <v>38</v>
      </c>
      <c r="V15" s="23" t="s">
        <v>38</v>
      </c>
      <c r="W15" s="34" t="s">
        <v>38</v>
      </c>
      <c r="X15" s="23" t="s">
        <v>38</v>
      </c>
      <c r="Y15" s="23" t="s">
        <v>38</v>
      </c>
      <c r="Z15" s="23" t="s">
        <v>38</v>
      </c>
      <c r="AA15" s="23" t="s">
        <v>38</v>
      </c>
      <c r="AB15" s="23" t="s">
        <v>38</v>
      </c>
      <c r="AC15" s="23" t="s">
        <v>38</v>
      </c>
      <c r="AD15" s="23" t="s">
        <v>38</v>
      </c>
      <c r="AE15" s="23" t="s">
        <v>38</v>
      </c>
      <c r="AF15" s="23" t="s">
        <v>38</v>
      </c>
      <c r="AG15" s="23" t="s">
        <v>38</v>
      </c>
      <c r="AH15" s="23" t="s">
        <v>38</v>
      </c>
      <c r="AI15" s="23" t="s">
        <v>38</v>
      </c>
      <c r="AJ15" s="24">
        <f t="shared" si="4"/>
        <v>5</v>
      </c>
      <c r="AK15" s="24">
        <f t="shared" si="5"/>
        <v>0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5</v>
      </c>
      <c r="AN15" s="86"/>
      <c r="AO15" s="73">
        <v>45782.0</v>
      </c>
    </row>
    <row r="16" ht="19.5" customHeight="1">
      <c r="A16" s="20" t="str">
        <f t="shared" si="3"/>
        <v>RehmanCombiTandoor</v>
      </c>
      <c r="B16" s="21" t="s">
        <v>60</v>
      </c>
      <c r="C16" s="22" t="s">
        <v>29</v>
      </c>
      <c r="D16" s="22" t="s">
        <v>19</v>
      </c>
      <c r="E16" s="23"/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34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20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13</v>
      </c>
      <c r="AJ16" s="24">
        <f t="shared" si="4"/>
        <v>29</v>
      </c>
      <c r="AK16" s="24">
        <f t="shared" si="5"/>
        <v>1</v>
      </c>
      <c r="AL16" s="24">
        <f t="shared" si="6"/>
        <v>0</v>
      </c>
      <c r="AM16" s="71">
        <v>30.0</v>
      </c>
      <c r="AN16" s="70">
        <v>300.0</v>
      </c>
      <c r="AO16" s="68"/>
    </row>
    <row r="17" ht="19.5" customHeight="1">
      <c r="A17" s="20" t="str">
        <f t="shared" si="3"/>
        <v>AbidCleanerService</v>
      </c>
      <c r="B17" s="21" t="s">
        <v>58</v>
      </c>
      <c r="C17" s="20" t="s">
        <v>61</v>
      </c>
      <c r="D17" s="20" t="s">
        <v>12</v>
      </c>
      <c r="E17" s="23"/>
      <c r="F17" s="23"/>
      <c r="G17" s="23"/>
      <c r="H17" s="23"/>
      <c r="I17" s="23"/>
      <c r="J17" s="23" t="s">
        <v>13</v>
      </c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20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34" t="s">
        <v>20</v>
      </c>
      <c r="W17" s="23" t="s">
        <v>13</v>
      </c>
      <c r="X17" s="23" t="s">
        <v>20</v>
      </c>
      <c r="Y17" s="23" t="s">
        <v>20</v>
      </c>
      <c r="Z17" s="23" t="s">
        <v>13</v>
      </c>
      <c r="AA17" s="23" t="s">
        <v>13</v>
      </c>
      <c r="AB17" s="23" t="s">
        <v>13</v>
      </c>
      <c r="AC17" s="23" t="s">
        <v>20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21</v>
      </c>
      <c r="AK17" s="24">
        <f t="shared" si="5"/>
        <v>5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22</v>
      </c>
      <c r="AN17" s="69"/>
      <c r="AO17" s="68"/>
    </row>
    <row r="18" ht="19.5" customHeight="1">
      <c r="A18" s="20" t="str">
        <f t="shared" si="3"/>
        <v>Ram KumarHelperIndian</v>
      </c>
      <c r="B18" s="21" t="s">
        <v>62</v>
      </c>
      <c r="C18" s="20" t="s">
        <v>15</v>
      </c>
      <c r="D18" s="20" t="s">
        <v>33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 t="s">
        <v>13</v>
      </c>
      <c r="AJ18" s="24">
        <f t="shared" si="4"/>
        <v>10</v>
      </c>
      <c r="AK18" s="24">
        <f t="shared" si="5"/>
        <v>0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10</v>
      </c>
      <c r="AN18" s="70">
        <v>4800.0</v>
      </c>
      <c r="AO18" s="68"/>
    </row>
    <row r="19" ht="19.5" customHeight="1">
      <c r="A19" s="20" t="str">
        <f t="shared" si="3"/>
        <v>MukeshWaiterService</v>
      </c>
      <c r="B19" s="21" t="s">
        <v>63</v>
      </c>
      <c r="C19" s="20" t="s">
        <v>22</v>
      </c>
      <c r="D19" s="20" t="s">
        <v>12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4"/>
        <v>10</v>
      </c>
      <c r="AK19" s="24">
        <f t="shared" si="5"/>
        <v>0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10</v>
      </c>
      <c r="AN19" s="70">
        <v>5200.0</v>
      </c>
      <c r="AO19" s="68"/>
    </row>
    <row r="20" ht="19.5" customHeight="1">
      <c r="A20" s="20" t="str">
        <f t="shared" si="3"/>
        <v>VijayChefTandoor</v>
      </c>
      <c r="B20" s="21" t="s">
        <v>25</v>
      </c>
      <c r="C20" s="20" t="s">
        <v>18</v>
      </c>
      <c r="D20" s="20" t="s">
        <v>19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3" t="s">
        <v>13</v>
      </c>
      <c r="AJ20" s="24">
        <f t="shared" si="4"/>
        <v>10</v>
      </c>
      <c r="AK20" s="24">
        <f t="shared" si="5"/>
        <v>0</v>
      </c>
      <c r="AL20" s="24">
        <f t="shared" si="6"/>
        <v>0</v>
      </c>
      <c r="AM20" s="68">
        <f>IFERROR(
  (AJ20 + AL20 * 0.5) + 
  IF(DAY(EOMONTH(E$2, 0)) = 28, VLOOKUP((AJ20 + AL20 * 0.5), Lookup!G:H, 2, FALSE),
    IF(DAY(EOMONTH(E$2, 0)) = 29, VLOOKUP((AJ20 + AL20 * 0.5), Lookup!E:F, 2, FALSE),
      IF(DAY(EOMONTH(E$2, 0)) = 30, VLOOKUP((AJ20 + AL20 * 0.5), Lookup!C:D, 2, FALSE),
        IF(DAY(EOMONTH(E$2, 0)) = 31, VLOOKUP((AJ20 + AL20 * 0.5), Lookup!A:B, 2, FALSE),
          0
        )
      )
    )
  ),
0)
</f>
        <v>10</v>
      </c>
      <c r="AN20" s="70">
        <v>42100.0</v>
      </c>
      <c r="AO20" s="68"/>
    </row>
    <row r="21" ht="19.5" customHeight="1">
      <c r="A21" s="26"/>
      <c r="B21" s="27"/>
      <c r="C21" s="26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f t="shared" si="4"/>
        <v>0</v>
      </c>
      <c r="AK21" s="24">
        <f t="shared" si="5"/>
        <v>0</v>
      </c>
      <c r="AL21" s="24">
        <f t="shared" si="6"/>
        <v>0</v>
      </c>
      <c r="AM21" s="68">
        <f>IFERROR(
  (AJ21 + AL21 * 0.5) + 
  IF(DAY(EOMONTH(E$2, 0)) = 28, VLOOKUP((AJ21 + AL21 * 0.5), Lookup!G:H, 2, FALSE),
    IF(DAY(EOMONTH(E$2, 0)) = 29, VLOOKUP((AJ21 + AL21 * 0.5), Lookup!E:F, 2, FALSE),
      IF(DAY(EOMONTH(E$2, 0)) = 30, VLOOKUP((AJ21 + AL21 * 0.5), Lookup!C:D, 2, FALSE),
        IF(DAY(EOMONTH(E$2, 0)) = 31, VLOOKUP((AJ21 + AL21 * 0.5), Lookup!A:B, 2, FALSE),
          0
        )
      )
    )
  ),
0)
</f>
        <v>0</v>
      </c>
      <c r="AN21" s="69"/>
      <c r="AO21" s="68"/>
    </row>
    <row r="22" ht="19.5" customHeight="1">
      <c r="A22" s="26"/>
      <c r="B22" s="27"/>
      <c r="C22" s="26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4"/>
        <v>0</v>
      </c>
      <c r="AK22" s="24">
        <f t="shared" si="5"/>
        <v>0</v>
      </c>
      <c r="AL22" s="24">
        <f t="shared" si="6"/>
        <v>0</v>
      </c>
      <c r="AM22" s="68">
        <f>IFERROR(
  (AJ22 + AL22 * 0.5) + 
  IF(DAY(EOMONTH(E$2, 0)) = 28, VLOOKUP((AJ22 + AL22 * 0.5), Lookup!G:H, 2, FALSE),
    IF(DAY(EOMONTH(E$2, 0)) = 29, VLOOKUP((AJ22 + AL22 * 0.5), Lookup!E:F, 2, FALSE),
      IF(DAY(EOMONTH(E$2, 0)) = 30, VLOOKUP((AJ22 + AL22 * 0.5), Lookup!C:D, 2, FALSE),
        IF(DAY(EOMONTH(E$2, 0)) = 31, VLOOKUP((AJ22 + AL22 * 0.5), Lookup!A:B, 2, FALSE),
          0
        )
      )
    )
  ),
0)
</f>
        <v>0</v>
      </c>
      <c r="AN22" s="69"/>
      <c r="AO22" s="68"/>
    </row>
    <row r="23" ht="19.5" customHeight="1">
      <c r="A23" s="26"/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4"/>
        <v>0</v>
      </c>
      <c r="AK23" s="24">
        <f t="shared" si="5"/>
        <v>0</v>
      </c>
      <c r="AL23" s="24">
        <f t="shared" si="6"/>
        <v>0</v>
      </c>
      <c r="AM23" s="68">
        <f>IFERROR(
  (AJ23 + AL23 * 0.5) + 
  IF(DAY(EOMONTH(E$2, 0)) = 28, VLOOKUP((AJ23 + AL23 * 0.5), Lookup!G:H, 2, FALSE),
    IF(DAY(EOMONTH(E$2, 0)) = 29, VLOOKUP((AJ23 + AL23 * 0.5), Lookup!E:F, 2, FALSE),
      IF(DAY(EOMONTH(E$2, 0)) = 30, VLOOKUP((AJ23 + AL23 * 0.5), Lookup!C:D, 2, FALSE),
        IF(DAY(EOMONTH(E$2, 0)) = 31, VLOOKUP((AJ23 + AL23 * 0.5), Lookup!A:B, 2, FALSE),
          0
        )
      )
    )
  ),
0)
</f>
        <v>0</v>
      </c>
      <c r="AN23" s="69"/>
      <c r="AO23" s="68"/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4"/>
        <v>0</v>
      </c>
      <c r="AK24" s="24">
        <f t="shared" si="5"/>
        <v>0</v>
      </c>
      <c r="AL24" s="24">
        <f t="shared" si="6"/>
        <v>0</v>
      </c>
      <c r="AM24" s="68">
        <f>IFERROR(
  (AJ24 + AL24 * 0.5) + 
  IF(DAY(EOMONTH(E$2, 0)) = 28, VLOOKUP((AJ24 + AL24 * 0.5), Lookup!G:H, 2, FALSE),
    IF(DAY(EOMONTH(E$2, 0)) = 29, VLOOKUP((AJ24 + AL24 * 0.5), Lookup!E:F, 2, FALSE),
      IF(DAY(EOMONTH(E$2, 0)) = 30, VLOOKUP((AJ24 + AL24 * 0.5), Lookup!C:D, 2, FALSE),
        IF(DAY(EOMONTH(E$2, 0)) = 31, VLOOKUP((AJ24 + AL24 * 0.5), Lookup!A:B, 2, FALSE),
          0
        )
      )
    )
  ),
0)
</f>
        <v>0</v>
      </c>
      <c r="AN24" s="69"/>
      <c r="AO24" s="68"/>
    </row>
    <row r="25" ht="19.5" customHeight="1">
      <c r="A25" s="26"/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4"/>
        <v>0</v>
      </c>
      <c r="AK25" s="24">
        <f t="shared" si="5"/>
        <v>0</v>
      </c>
      <c r="AL25" s="24">
        <f t="shared" si="6"/>
        <v>0</v>
      </c>
      <c r="AM25" s="68">
        <f>IFERROR(
  (AJ25 + AL25 * 0.5) + 
  IF(DAY(EOMONTH(E$2, 0)) = 28, VLOOKUP((AJ25 + AL25 * 0.5), Lookup!G:H, 2, FALSE),
    IF(DAY(EOMONTH(E$2, 0)) = 29, VLOOKUP((AJ25 + AL25 * 0.5), Lookup!E:F, 2, FALSE),
      IF(DAY(EOMONTH(E$2, 0)) = 30, VLOOKUP((AJ25 + AL25 * 0.5), Lookup!C:D, 2, FALSE),
        IF(DAY(EOMONTH(E$2, 0)) = 31, VLOOKUP((AJ25 + AL25 * 0.5), Lookup!A:B, 2, FALSE),
          0
        )
      )
    )
  ),
0)
</f>
        <v>0</v>
      </c>
      <c r="AN25" s="69"/>
      <c r="AO25" s="68"/>
    </row>
    <row r="26" ht="19.5" customHeight="1">
      <c r="A26" s="26"/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4"/>
        <v>0</v>
      </c>
      <c r="AK26" s="24">
        <f t="shared" si="5"/>
        <v>0</v>
      </c>
      <c r="AL26" s="24">
        <f t="shared" si="6"/>
        <v>0</v>
      </c>
      <c r="AM26" s="68">
        <f>IFERROR(
  (AJ26 + AL26 * 0.5) + 
  IF(DAY(EOMONTH(E$2, 0)) = 28, VLOOKUP((AJ26 + AL26 * 0.5), Lookup!G:H, 2, FALSE),
    IF(DAY(EOMONTH(E$2, 0)) = 29, VLOOKUP((AJ26 + AL26 * 0.5), Lookup!E:F, 2, FALSE),
      IF(DAY(EOMONTH(E$2, 0)) = 30, VLOOKUP((AJ26 + AL26 * 0.5), Lookup!C:D, 2, FALSE),
        IF(DAY(EOMONTH(E$2, 0)) = 31, VLOOKUP((AJ26 + AL26 * 0.5), Lookup!A:B, 2, FALSE),
          0
        )
      )
    )
  ),
0)
</f>
        <v>0</v>
      </c>
      <c r="AN26" s="69"/>
      <c r="AO26" s="68"/>
    </row>
    <row r="27" ht="19.5" customHeight="1">
      <c r="A27" s="26"/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4"/>
        <v>0</v>
      </c>
      <c r="AK27" s="24">
        <f t="shared" si="5"/>
        <v>0</v>
      </c>
      <c r="AL27" s="24">
        <f t="shared" si="6"/>
        <v>0</v>
      </c>
      <c r="AM27" s="68">
        <f>IFERROR(
  (AJ27 + AL27 * 0.5) + 
  IF(DAY(EOMONTH(E$2, 0)) = 28, VLOOKUP((AJ27 + AL27 * 0.5), Lookup!G:H, 2, FALSE),
    IF(DAY(EOMONTH(E$2, 0)) = 29, VLOOKUP((AJ27 + AL27 * 0.5), Lookup!E:F, 2, FALSE),
      IF(DAY(EOMONTH(E$2, 0)) = 30, VLOOKUP((AJ27 + AL27 * 0.5), Lookup!C:D, 2, FALSE),
        IF(DAY(EOMONTH(E$2, 0)) = 31, VLOOKUP((AJ27 + AL27 * 0.5), Lookup!A:B, 2, FALSE),
          0
        )
      )
    )
  ),
0)
</f>
        <v>0</v>
      </c>
      <c r="AN27" s="69"/>
      <c r="AO27" s="68"/>
    </row>
    <row r="28" ht="19.5" customHeight="1">
      <c r="A28" s="26"/>
      <c r="B28" s="29"/>
      <c r="C28" s="28"/>
      <c r="D28" s="28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24">
        <f t="shared" si="5"/>
        <v>0</v>
      </c>
      <c r="AL28" s="24">
        <f t="shared" si="6"/>
        <v>0</v>
      </c>
      <c r="AM28" s="68">
        <f>IFERROR(
  (AJ28 + AL28 * 0.5) + 
  IF(DAY(EOMONTH(E$2, 0)) = 28, VLOOKUP((AJ28 + AL28 * 0.5), Lookup!G:H, 2, FALSE),
    IF(DAY(EOMONTH(E$2, 0)) = 29, VLOOKUP((AJ28 + AL28 * 0.5), Lookup!E:F, 2, FALSE),
      IF(DAY(EOMONTH(E$2, 0)) = 30, VLOOKUP((AJ28 + AL28 * 0.5), Lookup!C:D, 2, FALSE),
        IF(DAY(EOMONTH(E$2, 0)) = 31, VLOOKUP((AJ28 + AL28 * 0.5), Lookup!A:B, 2, FALSE),
          0
        )
      )
    )
  ),
0)
</f>
        <v>0</v>
      </c>
      <c r="AN28" s="75"/>
      <c r="AO28" s="74"/>
    </row>
    <row r="29" ht="19.5" customHeight="1">
      <c r="A29" s="26"/>
      <c r="AN29" s="76"/>
      <c r="AO29" s="77"/>
    </row>
    <row r="30" ht="19.5" customHeight="1">
      <c r="A30" s="26"/>
      <c r="AN30" s="76"/>
      <c r="AO30" s="77"/>
      <c r="AP30" s="76"/>
    </row>
    <row r="31" ht="19.5" hidden="1" customHeight="1">
      <c r="A31" s="28"/>
      <c r="AP31" s="76"/>
    </row>
  </sheetData>
  <mergeCells count="1">
    <mergeCell ref="E1:U1"/>
  </mergeCells>
  <dataValidations>
    <dataValidation type="list" allowBlank="1" showErrorMessage="1" sqref="E4:AI27 E28:AJ28">
      <formula1>"Present,Off,Half Day,Left"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9.63"/>
    <col customWidth="1" min="6" max="35" width="6.13"/>
    <col customWidth="1" min="36" max="36" width="9.75"/>
    <col customWidth="1" min="37" max="37" width="7.63"/>
    <col customWidth="1" min="38" max="38" width="9.38"/>
    <col customWidth="1" min="39" max="39" width="8.63"/>
    <col customWidth="1" min="40" max="41" width="9.38"/>
    <col customWidth="1" min="42" max="42" width="11.5"/>
  </cols>
  <sheetData>
    <row r="1" ht="3.0" customHeight="1">
      <c r="A1" s="5"/>
      <c r="B1" s="5" t="s">
        <v>59</v>
      </c>
      <c r="C1" s="5"/>
      <c r="D1" s="6">
        <f>day(EOMONTH(T2,0))</f>
        <v>30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45809.0</v>
      </c>
      <c r="F2" s="12">
        <f t="shared" ref="F2:AI2" si="1">IF(MONTH(E2+1)=MONTH(EOMONTH($E$2,0)),E2+1,"")</f>
        <v>45810</v>
      </c>
      <c r="G2" s="12">
        <f t="shared" si="1"/>
        <v>45811</v>
      </c>
      <c r="H2" s="12">
        <f t="shared" si="1"/>
        <v>45812</v>
      </c>
      <c r="I2" s="12">
        <f t="shared" si="1"/>
        <v>45813</v>
      </c>
      <c r="J2" s="12">
        <f t="shared" si="1"/>
        <v>45814</v>
      </c>
      <c r="K2" s="12">
        <f t="shared" si="1"/>
        <v>45815</v>
      </c>
      <c r="L2" s="12">
        <f t="shared" si="1"/>
        <v>45816</v>
      </c>
      <c r="M2" s="12">
        <f t="shared" si="1"/>
        <v>45817</v>
      </c>
      <c r="N2" s="12">
        <f t="shared" si="1"/>
        <v>45818</v>
      </c>
      <c r="O2" s="12">
        <f t="shared" si="1"/>
        <v>45819</v>
      </c>
      <c r="P2" s="12">
        <f t="shared" si="1"/>
        <v>45820</v>
      </c>
      <c r="Q2" s="12">
        <f t="shared" si="1"/>
        <v>45821</v>
      </c>
      <c r="R2" s="12">
        <f t="shared" si="1"/>
        <v>45822</v>
      </c>
      <c r="S2" s="12">
        <f t="shared" si="1"/>
        <v>45823</v>
      </c>
      <c r="T2" s="12">
        <f t="shared" si="1"/>
        <v>45824</v>
      </c>
      <c r="U2" s="12">
        <f t="shared" si="1"/>
        <v>45825</v>
      </c>
      <c r="V2" s="12">
        <f t="shared" si="1"/>
        <v>45826</v>
      </c>
      <c r="W2" s="12">
        <f t="shared" si="1"/>
        <v>45827</v>
      </c>
      <c r="X2" s="12">
        <f t="shared" si="1"/>
        <v>45828</v>
      </c>
      <c r="Y2" s="12">
        <f t="shared" si="1"/>
        <v>45829</v>
      </c>
      <c r="Z2" s="12">
        <f t="shared" si="1"/>
        <v>45830</v>
      </c>
      <c r="AA2" s="12">
        <f t="shared" si="1"/>
        <v>45831</v>
      </c>
      <c r="AB2" s="12">
        <f t="shared" si="1"/>
        <v>45832</v>
      </c>
      <c r="AC2" s="12">
        <f t="shared" si="1"/>
        <v>45833</v>
      </c>
      <c r="AD2" s="12">
        <f t="shared" si="1"/>
        <v>45834</v>
      </c>
      <c r="AE2" s="12">
        <f t="shared" si="1"/>
        <v>45835</v>
      </c>
      <c r="AF2" s="12">
        <f t="shared" si="1"/>
        <v>45836</v>
      </c>
      <c r="AG2" s="12">
        <f t="shared" si="1"/>
        <v>45837</v>
      </c>
      <c r="AH2" s="12">
        <f t="shared" si="1"/>
        <v>45838</v>
      </c>
      <c r="AI2" s="12" t="str">
        <f t="shared" si="1"/>
        <v/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45809</v>
      </c>
      <c r="F3" s="17">
        <f t="shared" si="2"/>
        <v>45810</v>
      </c>
      <c r="G3" s="17">
        <f t="shared" si="2"/>
        <v>45811</v>
      </c>
      <c r="H3" s="17">
        <f t="shared" si="2"/>
        <v>45812</v>
      </c>
      <c r="I3" s="17">
        <f t="shared" si="2"/>
        <v>45813</v>
      </c>
      <c r="J3" s="17">
        <f t="shared" si="2"/>
        <v>45814</v>
      </c>
      <c r="K3" s="17">
        <f t="shared" si="2"/>
        <v>45815</v>
      </c>
      <c r="L3" s="17">
        <f t="shared" si="2"/>
        <v>45816</v>
      </c>
      <c r="M3" s="17">
        <f t="shared" si="2"/>
        <v>45817</v>
      </c>
      <c r="N3" s="17">
        <f t="shared" si="2"/>
        <v>45818</v>
      </c>
      <c r="O3" s="17">
        <f t="shared" si="2"/>
        <v>45819</v>
      </c>
      <c r="P3" s="17">
        <f t="shared" si="2"/>
        <v>45820</v>
      </c>
      <c r="Q3" s="17">
        <f t="shared" si="2"/>
        <v>45821</v>
      </c>
      <c r="R3" s="17">
        <f t="shared" si="2"/>
        <v>45822</v>
      </c>
      <c r="S3" s="17">
        <f t="shared" si="2"/>
        <v>45823</v>
      </c>
      <c r="T3" s="17">
        <f t="shared" si="2"/>
        <v>45824</v>
      </c>
      <c r="U3" s="17">
        <f t="shared" si="2"/>
        <v>45825</v>
      </c>
      <c r="V3" s="17">
        <f t="shared" si="2"/>
        <v>45826</v>
      </c>
      <c r="W3" s="17">
        <f t="shared" si="2"/>
        <v>45827</v>
      </c>
      <c r="X3" s="17">
        <f t="shared" si="2"/>
        <v>45828</v>
      </c>
      <c r="Y3" s="17">
        <f t="shared" si="2"/>
        <v>45829</v>
      </c>
      <c r="Z3" s="17">
        <f t="shared" si="2"/>
        <v>45830</v>
      </c>
      <c r="AA3" s="17">
        <f t="shared" si="2"/>
        <v>45831</v>
      </c>
      <c r="AB3" s="17">
        <f t="shared" si="2"/>
        <v>45832</v>
      </c>
      <c r="AC3" s="17">
        <f t="shared" si="2"/>
        <v>45833</v>
      </c>
      <c r="AD3" s="17">
        <f t="shared" si="2"/>
        <v>45834</v>
      </c>
      <c r="AE3" s="17">
        <f t="shared" si="2"/>
        <v>45835</v>
      </c>
      <c r="AF3" s="17">
        <f t="shared" si="2"/>
        <v>45836</v>
      </c>
      <c r="AG3" s="17">
        <f t="shared" si="2"/>
        <v>45837</v>
      </c>
      <c r="AH3" s="17">
        <f t="shared" si="2"/>
        <v>45838</v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8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20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/>
      <c r="AJ4" s="24">
        <f t="shared" ref="AJ4:AJ27" si="4">if(countif($E4:$AI4,AJ$3)&gt;day(EOMONTH($T$2,0)),"Error",countif($E4:$AI4,AJ$3))</f>
        <v>29</v>
      </c>
      <c r="AK4" s="24">
        <f t="shared" ref="AK4:AK28" si="5">countif($E4:$AI4,AK$3)+(sum(AL4)/2)</f>
        <v>1</v>
      </c>
      <c r="AL4" s="24">
        <f t="shared" ref="AL4:AL28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31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67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20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/>
      <c r="AJ5" s="24">
        <f t="shared" si="4"/>
        <v>29</v>
      </c>
      <c r="AK5" s="24">
        <f t="shared" si="5"/>
        <v>1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31</v>
      </c>
      <c r="AN5" s="70">
        <v>6000.0</v>
      </c>
      <c r="AO5" s="71"/>
      <c r="AP5">
        <f t="shared" ref="AP5:AP9" si="7">IF(AK5&lt;=2,AK5,2)</f>
        <v>1</v>
      </c>
    </row>
    <row r="6" ht="19.5" customHeight="1">
      <c r="A6" s="20" t="str">
        <f t="shared" si="3"/>
        <v>SuhailWaiterService</v>
      </c>
      <c r="B6" s="21" t="s">
        <v>21</v>
      </c>
      <c r="C6" s="22" t="s">
        <v>22</v>
      </c>
      <c r="D6" s="22" t="s">
        <v>12</v>
      </c>
      <c r="E6" s="67" t="s">
        <v>13</v>
      </c>
      <c r="F6" s="67" t="s">
        <v>38</v>
      </c>
      <c r="G6" s="67" t="s">
        <v>38</v>
      </c>
      <c r="H6" s="67" t="s">
        <v>38</v>
      </c>
      <c r="I6" s="67" t="s">
        <v>38</v>
      </c>
      <c r="J6" s="67" t="s">
        <v>38</v>
      </c>
      <c r="K6" s="67" t="s">
        <v>38</v>
      </c>
      <c r="L6" s="23" t="s">
        <v>38</v>
      </c>
      <c r="M6" s="23" t="s">
        <v>38</v>
      </c>
      <c r="N6" s="23" t="s">
        <v>38</v>
      </c>
      <c r="O6" s="23" t="s">
        <v>38</v>
      </c>
      <c r="P6" s="67" t="s">
        <v>38</v>
      </c>
      <c r="Q6" s="67" t="s">
        <v>38</v>
      </c>
      <c r="R6" s="23" t="s">
        <v>38</v>
      </c>
      <c r="S6" s="23" t="s">
        <v>38</v>
      </c>
      <c r="T6" s="23" t="s">
        <v>38</v>
      </c>
      <c r="U6" s="23" t="s">
        <v>38</v>
      </c>
      <c r="V6" s="23" t="s">
        <v>38</v>
      </c>
      <c r="W6" s="34" t="s">
        <v>38</v>
      </c>
      <c r="X6" s="23" t="s">
        <v>38</v>
      </c>
      <c r="Y6" s="23" t="s">
        <v>38</v>
      </c>
      <c r="Z6" s="23" t="s">
        <v>38</v>
      </c>
      <c r="AA6" s="67" t="s">
        <v>38</v>
      </c>
      <c r="AB6" s="67" t="s">
        <v>38</v>
      </c>
      <c r="AC6" s="67" t="s">
        <v>38</v>
      </c>
      <c r="AD6" s="23" t="s">
        <v>38</v>
      </c>
      <c r="AE6" s="23" t="s">
        <v>38</v>
      </c>
      <c r="AF6" s="23" t="s">
        <v>38</v>
      </c>
      <c r="AG6" s="23" t="s">
        <v>38</v>
      </c>
      <c r="AH6" s="23" t="s">
        <v>38</v>
      </c>
      <c r="AI6" s="23"/>
      <c r="AJ6" s="24">
        <f t="shared" si="4"/>
        <v>1</v>
      </c>
      <c r="AK6" s="24">
        <f t="shared" si="5"/>
        <v>0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1</v>
      </c>
      <c r="AN6" s="69"/>
      <c r="AO6" s="68"/>
      <c r="AP6">
        <f t="shared" si="7"/>
        <v>0</v>
      </c>
    </row>
    <row r="7" ht="19.5" customHeight="1">
      <c r="A7" s="20" t="str">
        <f t="shared" si="3"/>
        <v>WakilHelperTandoor</v>
      </c>
      <c r="B7" s="21" t="s">
        <v>24</v>
      </c>
      <c r="C7" s="22" t="s">
        <v>15</v>
      </c>
      <c r="D7" s="22" t="s">
        <v>19</v>
      </c>
      <c r="E7" s="67" t="s">
        <v>13</v>
      </c>
      <c r="F7" s="67" t="s">
        <v>38</v>
      </c>
      <c r="G7" s="67" t="s">
        <v>38</v>
      </c>
      <c r="H7" s="67" t="s">
        <v>38</v>
      </c>
      <c r="I7" s="67" t="s">
        <v>38</v>
      </c>
      <c r="J7" s="67" t="s">
        <v>38</v>
      </c>
      <c r="K7" s="67" t="s">
        <v>38</v>
      </c>
      <c r="L7" s="23" t="s">
        <v>38</v>
      </c>
      <c r="M7" s="23" t="s">
        <v>38</v>
      </c>
      <c r="N7" s="23" t="s">
        <v>38</v>
      </c>
      <c r="O7" s="23" t="s">
        <v>38</v>
      </c>
      <c r="P7" s="67" t="s">
        <v>38</v>
      </c>
      <c r="Q7" s="67" t="s">
        <v>38</v>
      </c>
      <c r="R7" s="23" t="s">
        <v>38</v>
      </c>
      <c r="S7" s="23" t="s">
        <v>38</v>
      </c>
      <c r="T7" s="23" t="s">
        <v>38</v>
      </c>
      <c r="U7" s="23" t="s">
        <v>38</v>
      </c>
      <c r="V7" s="23" t="s">
        <v>38</v>
      </c>
      <c r="W7" s="34" t="s">
        <v>38</v>
      </c>
      <c r="X7" s="23" t="s">
        <v>38</v>
      </c>
      <c r="Y7" s="23" t="s">
        <v>38</v>
      </c>
      <c r="Z7" s="23" t="s">
        <v>38</v>
      </c>
      <c r="AA7" s="67" t="s">
        <v>38</v>
      </c>
      <c r="AB7" s="67" t="s">
        <v>38</v>
      </c>
      <c r="AC7" s="67" t="s">
        <v>38</v>
      </c>
      <c r="AD7" s="23" t="s">
        <v>38</v>
      </c>
      <c r="AE7" s="23" t="s">
        <v>38</v>
      </c>
      <c r="AF7" s="23" t="s">
        <v>38</v>
      </c>
      <c r="AG7" s="23" t="s">
        <v>38</v>
      </c>
      <c r="AH7" s="23" t="s">
        <v>38</v>
      </c>
      <c r="AI7" s="23"/>
      <c r="AJ7" s="24">
        <f t="shared" si="4"/>
        <v>1</v>
      </c>
      <c r="AK7" s="24">
        <f t="shared" si="5"/>
        <v>0</v>
      </c>
      <c r="AL7" s="24">
        <f t="shared" si="6"/>
        <v>0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1</v>
      </c>
      <c r="AN7" s="70"/>
      <c r="AO7" s="68"/>
      <c r="AP7">
        <f t="shared" si="7"/>
        <v>0</v>
      </c>
    </row>
    <row r="8" ht="19.5" customHeight="1">
      <c r="A8" s="20" t="str">
        <f t="shared" si="3"/>
        <v>NaseemSupervisorSupervisor</v>
      </c>
      <c r="B8" s="21" t="s">
        <v>26</v>
      </c>
      <c r="C8" s="22" t="s">
        <v>27</v>
      </c>
      <c r="D8" s="22" t="s">
        <v>27</v>
      </c>
      <c r="E8" s="67" t="s">
        <v>13</v>
      </c>
      <c r="F8" s="67" t="s">
        <v>13</v>
      </c>
      <c r="G8" s="67" t="s">
        <v>13</v>
      </c>
      <c r="H8" s="67" t="s">
        <v>13</v>
      </c>
      <c r="I8" s="67" t="s">
        <v>13</v>
      </c>
      <c r="J8" s="67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67" t="s">
        <v>13</v>
      </c>
      <c r="Q8" s="67" t="s">
        <v>13</v>
      </c>
      <c r="R8" s="23" t="s">
        <v>13</v>
      </c>
      <c r="S8" s="23" t="s">
        <v>13</v>
      </c>
      <c r="T8" s="23" t="s">
        <v>20</v>
      </c>
      <c r="U8" s="23" t="s">
        <v>13</v>
      </c>
      <c r="V8" s="23" t="s">
        <v>13</v>
      </c>
      <c r="W8" s="34" t="s">
        <v>13</v>
      </c>
      <c r="X8" s="23" t="s">
        <v>13</v>
      </c>
      <c r="Y8" s="23" t="s">
        <v>13</v>
      </c>
      <c r="Z8" s="23" t="s">
        <v>13</v>
      </c>
      <c r="AA8" s="67" t="s">
        <v>13</v>
      </c>
      <c r="AB8" s="67" t="s">
        <v>13</v>
      </c>
      <c r="AC8" s="67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/>
      <c r="AJ8" s="24">
        <f t="shared" si="4"/>
        <v>29</v>
      </c>
      <c r="AK8" s="24">
        <f t="shared" si="5"/>
        <v>1</v>
      </c>
      <c r="AL8" s="24">
        <f t="shared" si="6"/>
        <v>0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31</v>
      </c>
      <c r="AN8" s="69"/>
      <c r="AO8" s="68"/>
      <c r="AP8">
        <f t="shared" si="7"/>
        <v>1</v>
      </c>
    </row>
    <row r="9" ht="19.5" customHeight="1">
      <c r="A9" s="20" t="str">
        <f t="shared" si="3"/>
        <v>VijayChefTandoor</v>
      </c>
      <c r="B9" s="21" t="s">
        <v>25</v>
      </c>
      <c r="C9" s="22" t="s">
        <v>18</v>
      </c>
      <c r="D9" s="22" t="s">
        <v>19</v>
      </c>
      <c r="E9" s="67" t="s">
        <v>13</v>
      </c>
      <c r="F9" s="67" t="s">
        <v>13</v>
      </c>
      <c r="G9" s="67" t="s">
        <v>13</v>
      </c>
      <c r="H9" s="67" t="s">
        <v>13</v>
      </c>
      <c r="I9" s="67" t="s">
        <v>13</v>
      </c>
      <c r="J9" s="67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67" t="s">
        <v>13</v>
      </c>
      <c r="Q9" s="67" t="s">
        <v>13</v>
      </c>
      <c r="R9" s="23" t="s">
        <v>13</v>
      </c>
      <c r="S9" s="23" t="s">
        <v>13</v>
      </c>
      <c r="T9" s="23" t="s">
        <v>20</v>
      </c>
      <c r="U9" s="23" t="s">
        <v>13</v>
      </c>
      <c r="V9" s="23" t="s">
        <v>13</v>
      </c>
      <c r="W9" s="34" t="s">
        <v>13</v>
      </c>
      <c r="X9" s="23" t="s">
        <v>13</v>
      </c>
      <c r="Y9" s="23" t="s">
        <v>13</v>
      </c>
      <c r="Z9" s="23" t="s">
        <v>13</v>
      </c>
      <c r="AA9" s="67" t="s">
        <v>13</v>
      </c>
      <c r="AB9" s="67" t="s">
        <v>13</v>
      </c>
      <c r="AC9" s="67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/>
      <c r="AJ9" s="24">
        <f t="shared" si="4"/>
        <v>29</v>
      </c>
      <c r="AK9" s="24">
        <f t="shared" si="5"/>
        <v>1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31</v>
      </c>
      <c r="AN9" s="70"/>
      <c r="AO9" s="87"/>
      <c r="AP9">
        <f t="shared" si="7"/>
        <v>1</v>
      </c>
    </row>
    <row r="10" ht="19.5" customHeight="1">
      <c r="A10" s="20" t="str">
        <f t="shared" si="3"/>
        <v>SameerBillerService</v>
      </c>
      <c r="B10" s="21" t="s">
        <v>23</v>
      </c>
      <c r="C10" s="22" t="s">
        <v>42</v>
      </c>
      <c r="D10" s="22" t="s">
        <v>12</v>
      </c>
      <c r="E10" s="67" t="s">
        <v>13</v>
      </c>
      <c r="F10" s="67" t="s">
        <v>13</v>
      </c>
      <c r="G10" s="67" t="s">
        <v>13</v>
      </c>
      <c r="H10" s="67" t="s">
        <v>20</v>
      </c>
      <c r="I10" s="67" t="s">
        <v>13</v>
      </c>
      <c r="J10" s="67" t="s">
        <v>13</v>
      </c>
      <c r="K10" s="67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67" t="s">
        <v>13</v>
      </c>
      <c r="Q10" s="67" t="s">
        <v>13</v>
      </c>
      <c r="R10" s="23" t="s">
        <v>13</v>
      </c>
      <c r="S10" s="23" t="s">
        <v>13</v>
      </c>
      <c r="T10" s="23" t="s">
        <v>20</v>
      </c>
      <c r="U10" s="23" t="s">
        <v>13</v>
      </c>
      <c r="V10" s="23" t="s">
        <v>13</v>
      </c>
      <c r="W10" s="34" t="s">
        <v>13</v>
      </c>
      <c r="X10" s="23" t="s">
        <v>13</v>
      </c>
      <c r="Y10" s="23" t="s">
        <v>13</v>
      </c>
      <c r="Z10" s="23" t="s">
        <v>13</v>
      </c>
      <c r="AA10" s="67" t="s">
        <v>13</v>
      </c>
      <c r="AB10" s="67" t="s">
        <v>13</v>
      </c>
      <c r="AC10" s="67" t="s">
        <v>13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/>
      <c r="AJ10" s="24">
        <f t="shared" si="4"/>
        <v>28</v>
      </c>
      <c r="AK10" s="24">
        <f t="shared" si="5"/>
        <v>2</v>
      </c>
      <c r="AL10" s="24">
        <f t="shared" si="6"/>
        <v>0</v>
      </c>
      <c r="AM10" s="71">
        <v>31.0</v>
      </c>
      <c r="AN10" s="70">
        <v>700.0</v>
      </c>
      <c r="AO10" s="73"/>
    </row>
    <row r="11" ht="19.5" customHeight="1">
      <c r="A11" s="20" t="str">
        <f t="shared" si="3"/>
        <v>DanishCombiIndian</v>
      </c>
      <c r="B11" s="21" t="s">
        <v>43</v>
      </c>
      <c r="C11" s="22" t="s">
        <v>29</v>
      </c>
      <c r="D11" s="22" t="s">
        <v>33</v>
      </c>
      <c r="E11" s="67" t="s">
        <v>13</v>
      </c>
      <c r="F11" s="67" t="s">
        <v>13</v>
      </c>
      <c r="G11" s="67" t="s">
        <v>13</v>
      </c>
      <c r="H11" s="67" t="s">
        <v>13</v>
      </c>
      <c r="I11" s="67" t="s">
        <v>13</v>
      </c>
      <c r="J11" s="67" t="s">
        <v>13</v>
      </c>
      <c r="K11" s="67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67" t="s">
        <v>13</v>
      </c>
      <c r="Q11" s="67" t="s">
        <v>13</v>
      </c>
      <c r="R11" s="23" t="s">
        <v>13</v>
      </c>
      <c r="S11" s="23" t="s">
        <v>13</v>
      </c>
      <c r="T11" s="23" t="s">
        <v>20</v>
      </c>
      <c r="U11" s="23" t="s">
        <v>13</v>
      </c>
      <c r="V11" s="23" t="s">
        <v>13</v>
      </c>
      <c r="W11" s="34" t="s">
        <v>13</v>
      </c>
      <c r="X11" s="23" t="s">
        <v>13</v>
      </c>
      <c r="Y11" s="23" t="s">
        <v>13</v>
      </c>
      <c r="Z11" s="23" t="s">
        <v>13</v>
      </c>
      <c r="AA11" s="67" t="s">
        <v>13</v>
      </c>
      <c r="AB11" s="67" t="s">
        <v>13</v>
      </c>
      <c r="AC11" s="67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/>
      <c r="AJ11" s="24">
        <f t="shared" si="4"/>
        <v>29</v>
      </c>
      <c r="AK11" s="24">
        <f t="shared" si="5"/>
        <v>1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31</v>
      </c>
      <c r="AN11" s="69"/>
      <c r="AO11" s="71"/>
    </row>
    <row r="12" ht="19.5" customHeight="1">
      <c r="A12" s="20" t="str">
        <f t="shared" si="3"/>
        <v>IrfanChefChinese</v>
      </c>
      <c r="B12" s="21" t="s">
        <v>44</v>
      </c>
      <c r="C12" s="22" t="s">
        <v>18</v>
      </c>
      <c r="D12" s="22" t="s">
        <v>40</v>
      </c>
      <c r="E12" s="67" t="s">
        <v>13</v>
      </c>
      <c r="F12" s="67" t="s">
        <v>34</v>
      </c>
      <c r="G12" s="67" t="s">
        <v>13</v>
      </c>
      <c r="H12" s="67" t="s">
        <v>13</v>
      </c>
      <c r="I12" s="67" t="s">
        <v>13</v>
      </c>
      <c r="J12" s="67" t="s">
        <v>13</v>
      </c>
      <c r="K12" s="67" t="s">
        <v>13</v>
      </c>
      <c r="L12" s="23" t="s">
        <v>13</v>
      </c>
      <c r="M12" s="23" t="s">
        <v>34</v>
      </c>
      <c r="N12" s="23" t="s">
        <v>13</v>
      </c>
      <c r="O12" s="23" t="s">
        <v>13</v>
      </c>
      <c r="P12" s="67" t="s">
        <v>13</v>
      </c>
      <c r="Q12" s="67" t="s">
        <v>13</v>
      </c>
      <c r="R12" s="23" t="s">
        <v>13</v>
      </c>
      <c r="S12" s="23" t="s">
        <v>13</v>
      </c>
      <c r="T12" s="23" t="s">
        <v>20</v>
      </c>
      <c r="U12" s="23" t="s">
        <v>13</v>
      </c>
      <c r="V12" s="23" t="s">
        <v>13</v>
      </c>
      <c r="W12" s="34" t="s">
        <v>13</v>
      </c>
      <c r="X12" s="23" t="s">
        <v>13</v>
      </c>
      <c r="Y12" s="23" t="s">
        <v>13</v>
      </c>
      <c r="Z12" s="23" t="s">
        <v>13</v>
      </c>
      <c r="AA12" s="67" t="s">
        <v>13</v>
      </c>
      <c r="AB12" s="67" t="s">
        <v>13</v>
      </c>
      <c r="AC12" s="67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/>
      <c r="AJ12" s="24">
        <f t="shared" si="4"/>
        <v>27</v>
      </c>
      <c r="AK12" s="24">
        <f t="shared" si="5"/>
        <v>2</v>
      </c>
      <c r="AL12" s="24">
        <f t="shared" si="6"/>
        <v>2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30</v>
      </c>
      <c r="AN12" s="69"/>
      <c r="AO12" s="71"/>
    </row>
    <row r="13" ht="19.5" customHeight="1">
      <c r="A13" s="20" t="str">
        <f t="shared" si="3"/>
        <v>KhenyaHelpermori</v>
      </c>
      <c r="B13" s="21" t="s">
        <v>48</v>
      </c>
      <c r="C13" s="22" t="s">
        <v>15</v>
      </c>
      <c r="D13" s="22" t="s">
        <v>50</v>
      </c>
      <c r="E13" s="67" t="s">
        <v>13</v>
      </c>
      <c r="F13" s="67" t="s">
        <v>13</v>
      </c>
      <c r="G13" s="67" t="s">
        <v>13</v>
      </c>
      <c r="H13" s="67" t="s">
        <v>13</v>
      </c>
      <c r="I13" s="67" t="s">
        <v>13</v>
      </c>
      <c r="J13" s="67" t="s">
        <v>13</v>
      </c>
      <c r="K13" s="67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67" t="s">
        <v>13</v>
      </c>
      <c r="Q13" s="67" t="s">
        <v>13</v>
      </c>
      <c r="R13" s="23" t="s">
        <v>13</v>
      </c>
      <c r="S13" s="23" t="s">
        <v>13</v>
      </c>
      <c r="T13" s="23" t="s">
        <v>20</v>
      </c>
      <c r="U13" s="23" t="s">
        <v>13</v>
      </c>
      <c r="V13" s="23" t="s">
        <v>13</v>
      </c>
      <c r="W13" s="34" t="s">
        <v>13</v>
      </c>
      <c r="X13" s="23" t="s">
        <v>13</v>
      </c>
      <c r="Y13" s="23" t="s">
        <v>13</v>
      </c>
      <c r="Z13" s="23" t="s">
        <v>13</v>
      </c>
      <c r="AA13" s="67" t="s">
        <v>38</v>
      </c>
      <c r="AB13" s="67" t="s">
        <v>38</v>
      </c>
      <c r="AC13" s="67" t="s">
        <v>38</v>
      </c>
      <c r="AD13" s="23" t="s">
        <v>38</v>
      </c>
      <c r="AE13" s="23" t="s">
        <v>38</v>
      </c>
      <c r="AF13" s="23" t="s">
        <v>38</v>
      </c>
      <c r="AG13" s="23" t="s">
        <v>38</v>
      </c>
      <c r="AH13" s="23" t="s">
        <v>38</v>
      </c>
      <c r="AI13" s="23"/>
      <c r="AJ13" s="24">
        <f t="shared" si="4"/>
        <v>21</v>
      </c>
      <c r="AK13" s="24">
        <f t="shared" si="5"/>
        <v>1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22</v>
      </c>
      <c r="AN13" s="70"/>
      <c r="AO13" s="73"/>
    </row>
    <row r="14" ht="19.5" customHeight="1">
      <c r="A14" s="20" t="str">
        <f t="shared" si="3"/>
        <v>Ram KumarHelperIndian</v>
      </c>
      <c r="B14" s="21" t="s">
        <v>62</v>
      </c>
      <c r="C14" s="22" t="s">
        <v>15</v>
      </c>
      <c r="D14" s="22" t="s">
        <v>33</v>
      </c>
      <c r="E14" s="67" t="s">
        <v>13</v>
      </c>
      <c r="F14" s="67" t="s">
        <v>13</v>
      </c>
      <c r="G14" s="67" t="s">
        <v>13</v>
      </c>
      <c r="H14" s="67" t="s">
        <v>13</v>
      </c>
      <c r="I14" s="67" t="s">
        <v>13</v>
      </c>
      <c r="J14" s="67" t="s">
        <v>13</v>
      </c>
      <c r="K14" s="67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13</v>
      </c>
      <c r="T14" s="23" t="s">
        <v>20</v>
      </c>
      <c r="U14" s="23" t="s">
        <v>13</v>
      </c>
      <c r="V14" s="23" t="s">
        <v>13</v>
      </c>
      <c r="W14" s="34" t="s">
        <v>13</v>
      </c>
      <c r="X14" s="23" t="s">
        <v>13</v>
      </c>
      <c r="Y14" s="23" t="s">
        <v>13</v>
      </c>
      <c r="Z14" s="23" t="s">
        <v>13</v>
      </c>
      <c r="AA14" s="67" t="s">
        <v>13</v>
      </c>
      <c r="AB14" s="67" t="s">
        <v>13</v>
      </c>
      <c r="AC14" s="67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/>
      <c r="AJ14" s="24">
        <f t="shared" si="4"/>
        <v>29</v>
      </c>
      <c r="AK14" s="24">
        <f t="shared" si="5"/>
        <v>1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31</v>
      </c>
      <c r="AN14" s="70">
        <v>8550.0</v>
      </c>
      <c r="AO14" s="68"/>
    </row>
    <row r="15" ht="19.5" customHeight="1">
      <c r="A15" s="20" t="str">
        <f t="shared" si="3"/>
        <v>MukeshWaiterService</v>
      </c>
      <c r="B15" s="21" t="s">
        <v>63</v>
      </c>
      <c r="C15" s="22" t="s">
        <v>22</v>
      </c>
      <c r="D15" s="22" t="s">
        <v>12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20</v>
      </c>
      <c r="U15" s="23" t="s">
        <v>13</v>
      </c>
      <c r="V15" s="23" t="s">
        <v>13</v>
      </c>
      <c r="W15" s="34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/>
      <c r="AJ15" s="24">
        <f t="shared" si="4"/>
        <v>29</v>
      </c>
      <c r="AK15" s="24">
        <f t="shared" si="5"/>
        <v>1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31</v>
      </c>
      <c r="AN15" s="70">
        <v>8500.0</v>
      </c>
      <c r="AO15" s="73"/>
    </row>
    <row r="16" ht="19.5" customHeight="1">
      <c r="A16" s="20" t="str">
        <f t="shared" si="3"/>
        <v>RahmanHelperTandoor</v>
      </c>
      <c r="B16" s="21" t="s">
        <v>64</v>
      </c>
      <c r="C16" s="22" t="s">
        <v>15</v>
      </c>
      <c r="D16" s="22" t="s">
        <v>19</v>
      </c>
      <c r="E16" s="23" t="s">
        <v>13</v>
      </c>
      <c r="F16" s="23" t="s">
        <v>13</v>
      </c>
      <c r="G16" s="23" t="s">
        <v>20</v>
      </c>
      <c r="H16" s="23" t="s">
        <v>13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20</v>
      </c>
      <c r="U16" s="23" t="s">
        <v>13</v>
      </c>
      <c r="V16" s="23" t="s">
        <v>13</v>
      </c>
      <c r="W16" s="34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/>
      <c r="AJ16" s="24">
        <f t="shared" si="4"/>
        <v>28</v>
      </c>
      <c r="AK16" s="24">
        <f t="shared" si="5"/>
        <v>2</v>
      </c>
      <c r="AL16" s="24">
        <f t="shared" si="6"/>
        <v>0</v>
      </c>
      <c r="AM16" s="71">
        <v>30.0</v>
      </c>
      <c r="AN16" s="70">
        <v>5300.0</v>
      </c>
      <c r="AO16" s="68"/>
    </row>
    <row r="17" ht="19.5" customHeight="1">
      <c r="A17" s="20" t="str">
        <f t="shared" si="3"/>
        <v>AbidCleanermori</v>
      </c>
      <c r="B17" s="88" t="s">
        <v>58</v>
      </c>
      <c r="C17" s="89" t="s">
        <v>61</v>
      </c>
      <c r="D17" s="89" t="s">
        <v>50</v>
      </c>
      <c r="E17" s="90" t="s">
        <v>20</v>
      </c>
      <c r="F17" s="90" t="s">
        <v>13</v>
      </c>
      <c r="G17" s="90" t="s">
        <v>13</v>
      </c>
      <c r="H17" s="90" t="s">
        <v>13</v>
      </c>
      <c r="I17" s="90" t="s">
        <v>13</v>
      </c>
      <c r="J17" s="90" t="s">
        <v>13</v>
      </c>
      <c r="K17" s="90" t="s">
        <v>20</v>
      </c>
      <c r="L17" s="90" t="s">
        <v>20</v>
      </c>
      <c r="M17" s="90" t="s">
        <v>13</v>
      </c>
      <c r="N17" s="90" t="s">
        <v>13</v>
      </c>
      <c r="O17" s="90" t="s">
        <v>13</v>
      </c>
      <c r="P17" s="90" t="s">
        <v>13</v>
      </c>
      <c r="Q17" s="90" t="s">
        <v>13</v>
      </c>
      <c r="R17" s="90" t="s">
        <v>13</v>
      </c>
      <c r="S17" s="90" t="s">
        <v>20</v>
      </c>
      <c r="T17" s="90" t="s">
        <v>20</v>
      </c>
      <c r="U17" s="90" t="s">
        <v>13</v>
      </c>
      <c r="V17" s="91" t="s">
        <v>13</v>
      </c>
      <c r="W17" s="90" t="s">
        <v>13</v>
      </c>
      <c r="X17" s="90" t="s">
        <v>13</v>
      </c>
      <c r="Y17" s="90" t="s">
        <v>13</v>
      </c>
      <c r="Z17" s="90" t="s">
        <v>20</v>
      </c>
      <c r="AA17" s="90" t="s">
        <v>13</v>
      </c>
      <c r="AB17" s="90" t="s">
        <v>13</v>
      </c>
      <c r="AC17" s="90" t="s">
        <v>13</v>
      </c>
      <c r="AD17" s="90" t="s">
        <v>13</v>
      </c>
      <c r="AE17" s="90" t="s">
        <v>13</v>
      </c>
      <c r="AF17" s="90" t="s">
        <v>13</v>
      </c>
      <c r="AG17" s="90" t="s">
        <v>20</v>
      </c>
      <c r="AH17" s="90" t="s">
        <v>13</v>
      </c>
      <c r="AI17" s="90"/>
      <c r="AJ17" s="92">
        <f t="shared" si="4"/>
        <v>23</v>
      </c>
      <c r="AK17" s="92">
        <f t="shared" si="5"/>
        <v>7</v>
      </c>
      <c r="AL17" s="92">
        <f t="shared" si="6"/>
        <v>0</v>
      </c>
      <c r="AM17" s="93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24</v>
      </c>
      <c r="AN17" s="94">
        <v>1200.0</v>
      </c>
      <c r="AO17" s="93"/>
      <c r="AP17" s="95"/>
    </row>
    <row r="18" ht="19.5" customHeight="1">
      <c r="A18" s="20" t="str">
        <f t="shared" si="3"/>
        <v>PrakashHelperChinese</v>
      </c>
      <c r="B18" s="21" t="s">
        <v>65</v>
      </c>
      <c r="C18" s="22" t="s">
        <v>15</v>
      </c>
      <c r="D18" s="22" t="s">
        <v>40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/>
      <c r="AJ18" s="24">
        <f t="shared" si="4"/>
        <v>5</v>
      </c>
      <c r="AK18" s="24">
        <f t="shared" si="5"/>
        <v>0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5</v>
      </c>
      <c r="AN18" s="70">
        <v>1000.0</v>
      </c>
      <c r="AO18" s="68"/>
    </row>
    <row r="19" ht="19.5" customHeight="1">
      <c r="A19" s="26"/>
      <c r="B19" s="21"/>
      <c r="C19" s="20"/>
      <c r="D19" s="20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4">
        <f t="shared" si="4"/>
        <v>0</v>
      </c>
      <c r="AK19" s="24">
        <f t="shared" si="5"/>
        <v>0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0</v>
      </c>
      <c r="AN19" s="70"/>
      <c r="AO19" s="68"/>
    </row>
    <row r="20" ht="19.5" customHeight="1">
      <c r="A20" s="26"/>
      <c r="B20" s="21"/>
      <c r="C20" s="20"/>
      <c r="D20" s="20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>
        <f t="shared" si="4"/>
        <v>0</v>
      </c>
      <c r="AK20" s="24">
        <f t="shared" si="5"/>
        <v>0</v>
      </c>
      <c r="AL20" s="24">
        <f t="shared" si="6"/>
        <v>0</v>
      </c>
      <c r="AM20" s="68">
        <f>IFERROR(
  (AJ20 + AL20 * 0.5) + 
  IF(DAY(EOMONTH(E$2, 0)) = 28, VLOOKUP((AJ20 + AL20 * 0.5), Lookup!G:H, 2, FALSE),
    IF(DAY(EOMONTH(E$2, 0)) = 29, VLOOKUP((AJ20 + AL20 * 0.5), Lookup!E:F, 2, FALSE),
      IF(DAY(EOMONTH(E$2, 0)) = 30, VLOOKUP((AJ20 + AL20 * 0.5), Lookup!C:D, 2, FALSE),
        IF(DAY(EOMONTH(E$2, 0)) = 31, VLOOKUP((AJ20 + AL20 * 0.5), Lookup!A:B, 2, FALSE),
          0
        )
      )
    )
  ),
0)
</f>
        <v>0</v>
      </c>
      <c r="AN20" s="70"/>
      <c r="AO20" s="68"/>
    </row>
    <row r="21" ht="19.5" customHeight="1">
      <c r="A21" s="26"/>
      <c r="B21" s="27"/>
      <c r="C21" s="26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f t="shared" si="4"/>
        <v>0</v>
      </c>
      <c r="AK21" s="24">
        <f t="shared" si="5"/>
        <v>0</v>
      </c>
      <c r="AL21" s="24">
        <f t="shared" si="6"/>
        <v>0</v>
      </c>
      <c r="AM21" s="68">
        <f>IFERROR(
  (AJ21 + AL21 * 0.5) + 
  IF(DAY(EOMONTH(E$2, 0)) = 28, VLOOKUP((AJ21 + AL21 * 0.5), Lookup!G:H, 2, FALSE),
    IF(DAY(EOMONTH(E$2, 0)) = 29, VLOOKUP((AJ21 + AL21 * 0.5), Lookup!E:F, 2, FALSE),
      IF(DAY(EOMONTH(E$2, 0)) = 30, VLOOKUP((AJ21 + AL21 * 0.5), Lookup!C:D, 2, FALSE),
        IF(DAY(EOMONTH(E$2, 0)) = 31, VLOOKUP((AJ21 + AL21 * 0.5), Lookup!A:B, 2, FALSE),
          0
        )
      )
    )
  ),
0)
</f>
        <v>0</v>
      </c>
      <c r="AN21" s="69"/>
      <c r="AO21" s="68"/>
    </row>
    <row r="22" ht="19.5" customHeight="1">
      <c r="A22" s="26"/>
      <c r="B22" s="27"/>
      <c r="C22" s="26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4"/>
        <v>0</v>
      </c>
      <c r="AK22" s="24">
        <f t="shared" si="5"/>
        <v>0</v>
      </c>
      <c r="AL22" s="24">
        <f t="shared" si="6"/>
        <v>0</v>
      </c>
      <c r="AM22" s="68">
        <f>IFERROR(
  (AJ22 + AL22 * 0.5) + 
  IF(DAY(EOMONTH(E$2, 0)) = 28, VLOOKUP((AJ22 + AL22 * 0.5), Lookup!G:H, 2, FALSE),
    IF(DAY(EOMONTH(E$2, 0)) = 29, VLOOKUP((AJ22 + AL22 * 0.5), Lookup!E:F, 2, FALSE),
      IF(DAY(EOMONTH(E$2, 0)) = 30, VLOOKUP((AJ22 + AL22 * 0.5), Lookup!C:D, 2, FALSE),
        IF(DAY(EOMONTH(E$2, 0)) = 31, VLOOKUP((AJ22 + AL22 * 0.5), Lookup!A:B, 2, FALSE),
          0
        )
      )
    )
  ),
0)
</f>
        <v>0</v>
      </c>
      <c r="AN22" s="69"/>
      <c r="AO22" s="68"/>
    </row>
    <row r="23" ht="19.5" customHeight="1">
      <c r="A23" s="26"/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4"/>
        <v>0</v>
      </c>
      <c r="AK23" s="24">
        <f t="shared" si="5"/>
        <v>0</v>
      </c>
      <c r="AL23" s="24">
        <f t="shared" si="6"/>
        <v>0</v>
      </c>
      <c r="AM23" s="68">
        <f>IFERROR(
  (AJ23 + AL23 * 0.5) + 
  IF(DAY(EOMONTH(E$2, 0)) = 28, VLOOKUP((AJ23 + AL23 * 0.5), Lookup!G:H, 2, FALSE),
    IF(DAY(EOMONTH(E$2, 0)) = 29, VLOOKUP((AJ23 + AL23 * 0.5), Lookup!E:F, 2, FALSE),
      IF(DAY(EOMONTH(E$2, 0)) = 30, VLOOKUP((AJ23 + AL23 * 0.5), Lookup!C:D, 2, FALSE),
        IF(DAY(EOMONTH(E$2, 0)) = 31, VLOOKUP((AJ23 + AL23 * 0.5), Lookup!A:B, 2, FALSE),
          0
        )
      )
    )
  ),
0)
</f>
        <v>0</v>
      </c>
      <c r="AN23" s="69"/>
      <c r="AO23" s="68"/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4"/>
        <v>0</v>
      </c>
      <c r="AK24" s="24">
        <f t="shared" si="5"/>
        <v>0</v>
      </c>
      <c r="AL24" s="24">
        <f t="shared" si="6"/>
        <v>0</v>
      </c>
      <c r="AM24" s="68">
        <f>IFERROR(
  (AJ24 + AL24 * 0.5) + 
  IF(DAY(EOMONTH(E$2, 0)) = 28, VLOOKUP((AJ24 + AL24 * 0.5), Lookup!G:H, 2, FALSE),
    IF(DAY(EOMONTH(E$2, 0)) = 29, VLOOKUP((AJ24 + AL24 * 0.5), Lookup!E:F, 2, FALSE),
      IF(DAY(EOMONTH(E$2, 0)) = 30, VLOOKUP((AJ24 + AL24 * 0.5), Lookup!C:D, 2, FALSE),
        IF(DAY(EOMONTH(E$2, 0)) = 31, VLOOKUP((AJ24 + AL24 * 0.5), Lookup!A:B, 2, FALSE),
          0
        )
      )
    )
  ),
0)
</f>
        <v>0</v>
      </c>
      <c r="AN24" s="69"/>
      <c r="AO24" s="68"/>
    </row>
    <row r="25" ht="19.5" customHeight="1">
      <c r="A25" s="26"/>
      <c r="B25" s="27"/>
      <c r="C25" s="26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>
        <f t="shared" si="4"/>
        <v>0</v>
      </c>
      <c r="AK25" s="24">
        <f t="shared" si="5"/>
        <v>0</v>
      </c>
      <c r="AL25" s="24">
        <f t="shared" si="6"/>
        <v>0</v>
      </c>
      <c r="AM25" s="68">
        <f>IFERROR(
  (AJ25 + AL25 * 0.5) + 
  IF(DAY(EOMONTH(E$2, 0)) = 28, VLOOKUP((AJ25 + AL25 * 0.5), Lookup!G:H, 2, FALSE),
    IF(DAY(EOMONTH(E$2, 0)) = 29, VLOOKUP((AJ25 + AL25 * 0.5), Lookup!E:F, 2, FALSE),
      IF(DAY(EOMONTH(E$2, 0)) = 30, VLOOKUP((AJ25 + AL25 * 0.5), Lookup!C:D, 2, FALSE),
        IF(DAY(EOMONTH(E$2, 0)) = 31, VLOOKUP((AJ25 + AL25 * 0.5), Lookup!A:B, 2, FALSE),
          0
        )
      )
    )
  ),
0)
</f>
        <v>0</v>
      </c>
      <c r="AN25" s="69"/>
      <c r="AO25" s="68"/>
    </row>
    <row r="26" ht="19.5" customHeight="1">
      <c r="A26" s="26"/>
      <c r="B26" s="27"/>
      <c r="C26" s="26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>
        <f t="shared" si="4"/>
        <v>0</v>
      </c>
      <c r="AK26" s="24">
        <f t="shared" si="5"/>
        <v>0</v>
      </c>
      <c r="AL26" s="24">
        <f t="shared" si="6"/>
        <v>0</v>
      </c>
      <c r="AM26" s="68">
        <f>IFERROR(
  (AJ26 + AL26 * 0.5) + 
  IF(DAY(EOMONTH(E$2, 0)) = 28, VLOOKUP((AJ26 + AL26 * 0.5), Lookup!G:H, 2, FALSE),
    IF(DAY(EOMONTH(E$2, 0)) = 29, VLOOKUP((AJ26 + AL26 * 0.5), Lookup!E:F, 2, FALSE),
      IF(DAY(EOMONTH(E$2, 0)) = 30, VLOOKUP((AJ26 + AL26 * 0.5), Lookup!C:D, 2, FALSE),
        IF(DAY(EOMONTH(E$2, 0)) = 31, VLOOKUP((AJ26 + AL26 * 0.5), Lookup!A:B, 2, FALSE),
          0
        )
      )
    )
  ),
0)
</f>
        <v>0</v>
      </c>
      <c r="AN26" s="69"/>
      <c r="AO26" s="68"/>
    </row>
    <row r="27" ht="19.5" customHeight="1">
      <c r="A27" s="26"/>
      <c r="B27" s="27"/>
      <c r="C27" s="26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>
        <f t="shared" si="4"/>
        <v>0</v>
      </c>
      <c r="AK27" s="24">
        <f t="shared" si="5"/>
        <v>0</v>
      </c>
      <c r="AL27" s="24">
        <f t="shared" si="6"/>
        <v>0</v>
      </c>
      <c r="AM27" s="68">
        <f>IFERROR(
  (AJ27 + AL27 * 0.5) + 
  IF(DAY(EOMONTH(E$2, 0)) = 28, VLOOKUP((AJ27 + AL27 * 0.5), Lookup!G:H, 2, FALSE),
    IF(DAY(EOMONTH(E$2, 0)) = 29, VLOOKUP((AJ27 + AL27 * 0.5), Lookup!E:F, 2, FALSE),
      IF(DAY(EOMONTH(E$2, 0)) = 30, VLOOKUP((AJ27 + AL27 * 0.5), Lookup!C:D, 2, FALSE),
        IF(DAY(EOMONTH(E$2, 0)) = 31, VLOOKUP((AJ27 + AL27 * 0.5), Lookup!A:B, 2, FALSE),
          0
        )
      )
    )
  ),
0)
</f>
        <v>0</v>
      </c>
      <c r="AN27" s="69"/>
      <c r="AO27" s="68"/>
    </row>
    <row r="28" ht="19.5" customHeight="1">
      <c r="A28" s="26"/>
      <c r="B28" s="29"/>
      <c r="C28" s="28"/>
      <c r="D28" s="28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24">
        <f t="shared" si="5"/>
        <v>0</v>
      </c>
      <c r="AL28" s="24">
        <f t="shared" si="6"/>
        <v>0</v>
      </c>
      <c r="AM28" s="68">
        <f>IFERROR(
  (AJ28 + AL28 * 0.5) + 
  IF(DAY(EOMONTH(E$2, 0)) = 28, VLOOKUP((AJ28 + AL28 * 0.5), Lookup!G:H, 2, FALSE),
    IF(DAY(EOMONTH(E$2, 0)) = 29, VLOOKUP((AJ28 + AL28 * 0.5), Lookup!E:F, 2, FALSE),
      IF(DAY(EOMONTH(E$2, 0)) = 30, VLOOKUP((AJ28 + AL28 * 0.5), Lookup!C:D, 2, FALSE),
        IF(DAY(EOMONTH(E$2, 0)) = 31, VLOOKUP((AJ28 + AL28 * 0.5), Lookup!A:B, 2, FALSE),
          0
        )
      )
    )
  ),
0)
</f>
        <v>0</v>
      </c>
      <c r="AN28" s="75"/>
      <c r="AO28" s="74"/>
    </row>
    <row r="29" ht="19.5" customHeight="1">
      <c r="A29" s="26"/>
      <c r="AN29" s="76"/>
      <c r="AO29" s="77"/>
    </row>
    <row r="30" ht="19.5" customHeight="1">
      <c r="A30" s="26"/>
      <c r="AN30" s="76"/>
      <c r="AO30" s="77"/>
      <c r="AP30" s="76"/>
    </row>
    <row r="31" ht="19.5" hidden="1" customHeight="1">
      <c r="A31" s="28"/>
      <c r="AP31" s="76"/>
    </row>
  </sheetData>
  <mergeCells count="1">
    <mergeCell ref="E1:U1"/>
  </mergeCells>
  <dataValidations>
    <dataValidation type="list" allowBlank="1" showErrorMessage="1" sqref="E4:AI27 E28:AJ28">
      <formula1>"Present,Off,Half Day,Left"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9.63"/>
    <col customWidth="1" min="6" max="35" width="6.13"/>
    <col customWidth="1" min="36" max="36" width="9.75"/>
    <col customWidth="1" min="37" max="37" width="7.63"/>
    <col customWidth="1" min="38" max="38" width="9.38"/>
    <col customWidth="1" min="39" max="39" width="8.63"/>
    <col customWidth="1" min="40" max="41" width="9.38"/>
    <col customWidth="1" min="42" max="42" width="11.5"/>
  </cols>
  <sheetData>
    <row r="1" ht="3.0" customHeight="1">
      <c r="A1" s="5"/>
      <c r="B1" s="5" t="s">
        <v>59</v>
      </c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45839.0</v>
      </c>
      <c r="F2" s="12">
        <f t="shared" ref="F2:AI2" si="1">IF(MONTH(E2+1)=MONTH(EOMONTH($E$2,0)),E2+1,"")</f>
        <v>45840</v>
      </c>
      <c r="G2" s="12">
        <f t="shared" si="1"/>
        <v>45841</v>
      </c>
      <c r="H2" s="12">
        <f t="shared" si="1"/>
        <v>45842</v>
      </c>
      <c r="I2" s="12">
        <f t="shared" si="1"/>
        <v>45843</v>
      </c>
      <c r="J2" s="12">
        <f t="shared" si="1"/>
        <v>45844</v>
      </c>
      <c r="K2" s="12">
        <f t="shared" si="1"/>
        <v>45845</v>
      </c>
      <c r="L2" s="12">
        <f t="shared" si="1"/>
        <v>45846</v>
      </c>
      <c r="M2" s="12">
        <f t="shared" si="1"/>
        <v>45847</v>
      </c>
      <c r="N2" s="12">
        <f t="shared" si="1"/>
        <v>45848</v>
      </c>
      <c r="O2" s="12">
        <f t="shared" si="1"/>
        <v>45849</v>
      </c>
      <c r="P2" s="12">
        <f t="shared" si="1"/>
        <v>45850</v>
      </c>
      <c r="Q2" s="12">
        <f t="shared" si="1"/>
        <v>45851</v>
      </c>
      <c r="R2" s="12">
        <f t="shared" si="1"/>
        <v>45852</v>
      </c>
      <c r="S2" s="12">
        <f t="shared" si="1"/>
        <v>45853</v>
      </c>
      <c r="T2" s="12">
        <f t="shared" si="1"/>
        <v>45854</v>
      </c>
      <c r="U2" s="12">
        <f t="shared" si="1"/>
        <v>45855</v>
      </c>
      <c r="V2" s="12">
        <f t="shared" si="1"/>
        <v>45856</v>
      </c>
      <c r="W2" s="12">
        <f t="shared" si="1"/>
        <v>45857</v>
      </c>
      <c r="X2" s="12">
        <f t="shared" si="1"/>
        <v>45858</v>
      </c>
      <c r="Y2" s="12">
        <f t="shared" si="1"/>
        <v>45859</v>
      </c>
      <c r="Z2" s="12">
        <f t="shared" si="1"/>
        <v>45860</v>
      </c>
      <c r="AA2" s="12">
        <f t="shared" si="1"/>
        <v>45861</v>
      </c>
      <c r="AB2" s="12">
        <f t="shared" si="1"/>
        <v>45862</v>
      </c>
      <c r="AC2" s="12">
        <f t="shared" si="1"/>
        <v>45863</v>
      </c>
      <c r="AD2" s="12">
        <f t="shared" si="1"/>
        <v>45864</v>
      </c>
      <c r="AE2" s="12">
        <f t="shared" si="1"/>
        <v>45865</v>
      </c>
      <c r="AF2" s="12">
        <f t="shared" si="1"/>
        <v>45866</v>
      </c>
      <c r="AG2" s="12">
        <f t="shared" si="1"/>
        <v>45867</v>
      </c>
      <c r="AH2" s="12">
        <f t="shared" si="1"/>
        <v>45868</v>
      </c>
      <c r="AI2" s="12">
        <f t="shared" si="1"/>
        <v>45869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45839</v>
      </c>
      <c r="F3" s="17">
        <f t="shared" si="2"/>
        <v>45840</v>
      </c>
      <c r="G3" s="17">
        <f t="shared" si="2"/>
        <v>45841</v>
      </c>
      <c r="H3" s="17">
        <f t="shared" si="2"/>
        <v>45842</v>
      </c>
      <c r="I3" s="17">
        <f t="shared" si="2"/>
        <v>45843</v>
      </c>
      <c r="J3" s="17">
        <f t="shared" si="2"/>
        <v>45844</v>
      </c>
      <c r="K3" s="17">
        <f t="shared" si="2"/>
        <v>45845</v>
      </c>
      <c r="L3" s="17">
        <f t="shared" si="2"/>
        <v>45846</v>
      </c>
      <c r="M3" s="17">
        <f t="shared" si="2"/>
        <v>45847</v>
      </c>
      <c r="N3" s="17">
        <f t="shared" si="2"/>
        <v>45848</v>
      </c>
      <c r="O3" s="17">
        <f t="shared" si="2"/>
        <v>45849</v>
      </c>
      <c r="P3" s="17">
        <f t="shared" si="2"/>
        <v>45850</v>
      </c>
      <c r="Q3" s="17">
        <f t="shared" si="2"/>
        <v>45851</v>
      </c>
      <c r="R3" s="17">
        <f t="shared" si="2"/>
        <v>45852</v>
      </c>
      <c r="S3" s="17">
        <f t="shared" si="2"/>
        <v>45853</v>
      </c>
      <c r="T3" s="17">
        <f t="shared" si="2"/>
        <v>45854</v>
      </c>
      <c r="U3" s="17">
        <f t="shared" si="2"/>
        <v>45855</v>
      </c>
      <c r="V3" s="17">
        <f t="shared" si="2"/>
        <v>45856</v>
      </c>
      <c r="W3" s="17">
        <f t="shared" si="2"/>
        <v>45857</v>
      </c>
      <c r="X3" s="17">
        <f t="shared" si="2"/>
        <v>45858</v>
      </c>
      <c r="Y3" s="17">
        <f t="shared" si="2"/>
        <v>45859</v>
      </c>
      <c r="Z3" s="17">
        <f t="shared" si="2"/>
        <v>45860</v>
      </c>
      <c r="AA3" s="17">
        <f t="shared" si="2"/>
        <v>45861</v>
      </c>
      <c r="AB3" s="17">
        <f t="shared" si="2"/>
        <v>45862</v>
      </c>
      <c r="AC3" s="17">
        <f t="shared" si="2"/>
        <v>45863</v>
      </c>
      <c r="AD3" s="17">
        <f t="shared" si="2"/>
        <v>45864</v>
      </c>
      <c r="AE3" s="17">
        <f t="shared" si="2"/>
        <v>45865</v>
      </c>
      <c r="AF3" s="17">
        <f t="shared" si="2"/>
        <v>45866</v>
      </c>
      <c r="AG3" s="17">
        <f t="shared" si="2"/>
        <v>45867</v>
      </c>
      <c r="AH3" s="17">
        <f t="shared" si="2"/>
        <v>45868</v>
      </c>
      <c r="AI3" s="17">
        <f t="shared" si="2"/>
        <v>45869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0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24" si="4">if(countif($E4:$AI4,AJ$3)&gt;day(EOMONTH($T$2,0)),"Error",countif($E4:$AI4,AJ$3))</f>
        <v>31</v>
      </c>
      <c r="AK4" s="24">
        <f t="shared" ref="AK4:AK25" si="5">countif($E4:$AI4,AK$3)+(sum(AL4)/2)</f>
        <v>0</v>
      </c>
      <c r="AL4" s="24">
        <f t="shared" ref="AL4:AL25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67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/>
      <c r="AO5" s="71"/>
      <c r="AP5">
        <f t="shared" ref="AP5:AP7" si="7">IF(AK5&lt;=2,AK5,2)</f>
        <v>0</v>
      </c>
    </row>
    <row r="6" ht="19.5" customHeight="1">
      <c r="A6" s="20" t="str">
        <f t="shared" si="3"/>
        <v>NaseemSupervisorSupervisor</v>
      </c>
      <c r="B6" s="21" t="s">
        <v>26</v>
      </c>
      <c r="C6" s="22" t="s">
        <v>27</v>
      </c>
      <c r="D6" s="22" t="s">
        <v>27</v>
      </c>
      <c r="E6" s="67" t="s">
        <v>13</v>
      </c>
      <c r="F6" s="67" t="s">
        <v>13</v>
      </c>
      <c r="G6" s="67" t="s">
        <v>13</v>
      </c>
      <c r="H6" s="67" t="s">
        <v>38</v>
      </c>
      <c r="I6" s="67" t="s">
        <v>38</v>
      </c>
      <c r="J6" s="67" t="s">
        <v>38</v>
      </c>
      <c r="K6" s="67" t="s">
        <v>38</v>
      </c>
      <c r="L6" s="23" t="s">
        <v>38</v>
      </c>
      <c r="M6" s="23" t="s">
        <v>38</v>
      </c>
      <c r="N6" s="23" t="s">
        <v>38</v>
      </c>
      <c r="O6" s="23" t="s">
        <v>38</v>
      </c>
      <c r="P6" s="67" t="s">
        <v>38</v>
      </c>
      <c r="Q6" s="67" t="s">
        <v>38</v>
      </c>
      <c r="R6" s="23" t="s">
        <v>38</v>
      </c>
      <c r="S6" s="23" t="s">
        <v>38</v>
      </c>
      <c r="T6" s="23" t="s">
        <v>38</v>
      </c>
      <c r="U6" s="23" t="s">
        <v>38</v>
      </c>
      <c r="V6" s="23" t="s">
        <v>38</v>
      </c>
      <c r="W6" s="34" t="s">
        <v>38</v>
      </c>
      <c r="X6" s="23" t="s">
        <v>38</v>
      </c>
      <c r="Y6" s="23" t="s">
        <v>38</v>
      </c>
      <c r="Z6" s="23" t="s">
        <v>38</v>
      </c>
      <c r="AA6" s="67" t="s">
        <v>38</v>
      </c>
      <c r="AB6" s="67" t="s">
        <v>38</v>
      </c>
      <c r="AC6" s="67" t="s">
        <v>38</v>
      </c>
      <c r="AD6" s="23" t="s">
        <v>38</v>
      </c>
      <c r="AE6" s="23" t="s">
        <v>38</v>
      </c>
      <c r="AF6" s="23" t="s">
        <v>38</v>
      </c>
      <c r="AG6" s="23" t="s">
        <v>38</v>
      </c>
      <c r="AH6" s="23" t="s">
        <v>38</v>
      </c>
      <c r="AI6" s="23" t="s">
        <v>38</v>
      </c>
      <c r="AJ6" s="24">
        <f t="shared" si="4"/>
        <v>3</v>
      </c>
      <c r="AK6" s="24">
        <f t="shared" si="5"/>
        <v>0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</v>
      </c>
      <c r="AN6" s="69"/>
      <c r="AO6" s="68"/>
      <c r="AP6">
        <f t="shared" si="7"/>
        <v>0</v>
      </c>
    </row>
    <row r="7" ht="19.5" customHeight="1">
      <c r="A7" s="20" t="str">
        <f t="shared" si="3"/>
        <v>VijayChefTandoor</v>
      </c>
      <c r="B7" s="21" t="s">
        <v>25</v>
      </c>
      <c r="C7" s="22" t="s">
        <v>18</v>
      </c>
      <c r="D7" s="22" t="s">
        <v>19</v>
      </c>
      <c r="E7" s="67" t="s">
        <v>13</v>
      </c>
      <c r="F7" s="67" t="s">
        <v>13</v>
      </c>
      <c r="G7" s="67" t="s">
        <v>13</v>
      </c>
      <c r="H7" s="67" t="s">
        <v>13</v>
      </c>
      <c r="I7" s="67" t="s">
        <v>13</v>
      </c>
      <c r="J7" s="67" t="s">
        <v>13</v>
      </c>
      <c r="K7" s="67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34" t="s">
        <v>13</v>
      </c>
      <c r="X7" s="23" t="s">
        <v>13</v>
      </c>
      <c r="Y7" s="23" t="s">
        <v>13</v>
      </c>
      <c r="Z7" s="23" t="s">
        <v>20</v>
      </c>
      <c r="AA7" s="67" t="s">
        <v>20</v>
      </c>
      <c r="AB7" s="67" t="s">
        <v>13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4"/>
        <v>29</v>
      </c>
      <c r="AK7" s="24">
        <f t="shared" si="5"/>
        <v>2</v>
      </c>
      <c r="AL7" s="24">
        <f t="shared" si="6"/>
        <v>0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31</v>
      </c>
      <c r="AN7" s="70">
        <v>49000.0</v>
      </c>
      <c r="AO7" s="87"/>
      <c r="AP7">
        <f t="shared" si="7"/>
        <v>2</v>
      </c>
    </row>
    <row r="8" ht="19.5" customHeight="1">
      <c r="A8" s="20" t="str">
        <f t="shared" si="3"/>
        <v>SameerBillerService</v>
      </c>
      <c r="B8" s="21" t="s">
        <v>23</v>
      </c>
      <c r="C8" s="22" t="s">
        <v>42</v>
      </c>
      <c r="D8" s="22" t="s">
        <v>12</v>
      </c>
      <c r="E8" s="67" t="s">
        <v>13</v>
      </c>
      <c r="F8" s="67" t="s">
        <v>13</v>
      </c>
      <c r="G8" s="67" t="s">
        <v>13</v>
      </c>
      <c r="H8" s="67" t="s">
        <v>13</v>
      </c>
      <c r="I8" s="67" t="s">
        <v>13</v>
      </c>
      <c r="J8" s="67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67" t="s">
        <v>13</v>
      </c>
      <c r="Q8" s="67" t="s">
        <v>13</v>
      </c>
      <c r="R8" s="23" t="s">
        <v>20</v>
      </c>
      <c r="S8" s="23" t="s">
        <v>13</v>
      </c>
      <c r="T8" s="23" t="s">
        <v>13</v>
      </c>
      <c r="U8" s="23" t="s">
        <v>13</v>
      </c>
      <c r="V8" s="23" t="s">
        <v>13</v>
      </c>
      <c r="W8" s="34" t="s">
        <v>13</v>
      </c>
      <c r="X8" s="23" t="s">
        <v>13</v>
      </c>
      <c r="Y8" s="23" t="s">
        <v>13</v>
      </c>
      <c r="Z8" s="23" t="s">
        <v>13</v>
      </c>
      <c r="AA8" s="67" t="s">
        <v>20</v>
      </c>
      <c r="AB8" s="67" t="s">
        <v>20</v>
      </c>
      <c r="AC8" s="67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28</v>
      </c>
      <c r="AK8" s="24">
        <f t="shared" si="5"/>
        <v>3</v>
      </c>
      <c r="AL8" s="24">
        <f t="shared" si="6"/>
        <v>0</v>
      </c>
      <c r="AM8" s="71">
        <v>31.0</v>
      </c>
      <c r="AN8" s="70"/>
      <c r="AO8" s="73"/>
    </row>
    <row r="9" ht="19.5" customHeight="1">
      <c r="A9" s="20" t="str">
        <f t="shared" si="3"/>
        <v>DanishCombiIndian</v>
      </c>
      <c r="B9" s="21" t="s">
        <v>43</v>
      </c>
      <c r="C9" s="22" t="s">
        <v>29</v>
      </c>
      <c r="D9" s="22" t="s">
        <v>33</v>
      </c>
      <c r="E9" s="67" t="s">
        <v>13</v>
      </c>
      <c r="F9" s="67" t="s">
        <v>13</v>
      </c>
      <c r="G9" s="67" t="s">
        <v>13</v>
      </c>
      <c r="H9" s="67" t="s">
        <v>13</v>
      </c>
      <c r="I9" s="67" t="s">
        <v>13</v>
      </c>
      <c r="J9" s="67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67" t="s">
        <v>13</v>
      </c>
      <c r="Q9" s="67" t="s">
        <v>13</v>
      </c>
      <c r="R9" s="23" t="s">
        <v>38</v>
      </c>
      <c r="S9" s="23" t="s">
        <v>38</v>
      </c>
      <c r="T9" s="23" t="s">
        <v>38</v>
      </c>
      <c r="U9" s="23" t="s">
        <v>38</v>
      </c>
      <c r="V9" s="23" t="s">
        <v>38</v>
      </c>
      <c r="W9" s="34" t="s">
        <v>38</v>
      </c>
      <c r="X9" s="23" t="s">
        <v>38</v>
      </c>
      <c r="Y9" s="23" t="s">
        <v>38</v>
      </c>
      <c r="Z9" s="23" t="s">
        <v>38</v>
      </c>
      <c r="AA9" s="67" t="s">
        <v>38</v>
      </c>
      <c r="AB9" s="67" t="s">
        <v>38</v>
      </c>
      <c r="AC9" s="67" t="s">
        <v>38</v>
      </c>
      <c r="AD9" s="23" t="s">
        <v>38</v>
      </c>
      <c r="AE9" s="23" t="s">
        <v>38</v>
      </c>
      <c r="AF9" s="23" t="s">
        <v>38</v>
      </c>
      <c r="AG9" s="23" t="s">
        <v>38</v>
      </c>
      <c r="AH9" s="23" t="s">
        <v>38</v>
      </c>
      <c r="AI9" s="23" t="s">
        <v>38</v>
      </c>
      <c r="AJ9" s="24">
        <f t="shared" si="4"/>
        <v>13</v>
      </c>
      <c r="AK9" s="24">
        <f t="shared" si="5"/>
        <v>0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13</v>
      </c>
      <c r="AN9" s="69"/>
      <c r="AO9" s="71"/>
    </row>
    <row r="10" ht="19.5" customHeight="1">
      <c r="A10" s="20" t="str">
        <f t="shared" si="3"/>
        <v>IrfanChefChinese</v>
      </c>
      <c r="B10" s="21" t="s">
        <v>44</v>
      </c>
      <c r="C10" s="22" t="s">
        <v>18</v>
      </c>
      <c r="D10" s="22" t="s">
        <v>40</v>
      </c>
      <c r="E10" s="67" t="s">
        <v>13</v>
      </c>
      <c r="F10" s="67" t="s">
        <v>13</v>
      </c>
      <c r="G10" s="67" t="s">
        <v>13</v>
      </c>
      <c r="H10" s="67" t="s">
        <v>13</v>
      </c>
      <c r="I10" s="67" t="s">
        <v>13</v>
      </c>
      <c r="J10" s="67" t="s">
        <v>13</v>
      </c>
      <c r="K10" s="67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67" t="s">
        <v>13</v>
      </c>
      <c r="Q10" s="67" t="s">
        <v>13</v>
      </c>
      <c r="R10" s="23" t="s">
        <v>13</v>
      </c>
      <c r="S10" s="23" t="s">
        <v>34</v>
      </c>
      <c r="T10" s="23" t="s">
        <v>13</v>
      </c>
      <c r="U10" s="23" t="s">
        <v>13</v>
      </c>
      <c r="V10" s="23" t="s">
        <v>13</v>
      </c>
      <c r="W10" s="34" t="s">
        <v>13</v>
      </c>
      <c r="X10" s="23" t="s">
        <v>13</v>
      </c>
      <c r="Y10" s="23" t="s">
        <v>13</v>
      </c>
      <c r="Z10" s="23" t="s">
        <v>13</v>
      </c>
      <c r="AA10" s="67" t="s">
        <v>20</v>
      </c>
      <c r="AB10" s="67" t="s">
        <v>13</v>
      </c>
      <c r="AC10" s="67" t="s">
        <v>13</v>
      </c>
      <c r="AD10" s="23" t="s">
        <v>13</v>
      </c>
      <c r="AE10" s="23" t="s">
        <v>13</v>
      </c>
      <c r="AF10" s="23" t="s">
        <v>34</v>
      </c>
      <c r="AG10" s="23" t="s">
        <v>13</v>
      </c>
      <c r="AH10" s="23" t="s">
        <v>13</v>
      </c>
      <c r="AI10" s="23" t="s">
        <v>13</v>
      </c>
      <c r="AJ10" s="24">
        <f t="shared" si="4"/>
        <v>28</v>
      </c>
      <c r="AK10" s="24">
        <f t="shared" si="5"/>
        <v>2</v>
      </c>
      <c r="AL10" s="24">
        <f t="shared" si="6"/>
        <v>2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31</v>
      </c>
      <c r="AN10" s="69"/>
      <c r="AO10" s="71"/>
    </row>
    <row r="11" ht="19.5" customHeight="1">
      <c r="A11" s="20" t="str">
        <f t="shared" si="3"/>
        <v>Ram KumarHelperIndian</v>
      </c>
      <c r="B11" s="21" t="s">
        <v>62</v>
      </c>
      <c r="C11" s="22" t="s">
        <v>15</v>
      </c>
      <c r="D11" s="22" t="s">
        <v>33</v>
      </c>
      <c r="E11" s="67" t="s">
        <v>13</v>
      </c>
      <c r="F11" s="67" t="s">
        <v>13</v>
      </c>
      <c r="G11" s="67" t="s">
        <v>13</v>
      </c>
      <c r="H11" s="67" t="s">
        <v>13</v>
      </c>
      <c r="I11" s="67" t="s">
        <v>13</v>
      </c>
      <c r="J11" s="67" t="s">
        <v>13</v>
      </c>
      <c r="K11" s="67" t="s">
        <v>13</v>
      </c>
      <c r="L11" s="23" t="s">
        <v>13</v>
      </c>
      <c r="M11" s="23" t="s">
        <v>13</v>
      </c>
      <c r="N11" s="23" t="s">
        <v>20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34" t="s">
        <v>13</v>
      </c>
      <c r="X11" s="23" t="s">
        <v>13</v>
      </c>
      <c r="Y11" s="23" t="s">
        <v>13</v>
      </c>
      <c r="Z11" s="23" t="s">
        <v>13</v>
      </c>
      <c r="AA11" s="67" t="s">
        <v>20</v>
      </c>
      <c r="AB11" s="67" t="s">
        <v>13</v>
      </c>
      <c r="AC11" s="67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 t="s">
        <v>13</v>
      </c>
      <c r="AJ11" s="24">
        <f t="shared" si="4"/>
        <v>29</v>
      </c>
      <c r="AK11" s="24">
        <f t="shared" si="5"/>
        <v>2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31</v>
      </c>
      <c r="AN11" s="70">
        <v>500.0</v>
      </c>
      <c r="AO11" s="68"/>
    </row>
    <row r="12" ht="19.5" customHeight="1">
      <c r="A12" s="20" t="str">
        <f t="shared" si="3"/>
        <v>MukeshWaiterService</v>
      </c>
      <c r="B12" s="21" t="s">
        <v>63</v>
      </c>
      <c r="C12" s="22" t="s">
        <v>22</v>
      </c>
      <c r="D12" s="22" t="s">
        <v>12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23" t="s">
        <v>13</v>
      </c>
      <c r="L12" s="23" t="s">
        <v>34</v>
      </c>
      <c r="M12" s="23" t="s">
        <v>38</v>
      </c>
      <c r="N12" s="23" t="s">
        <v>38</v>
      </c>
      <c r="O12" s="23" t="s">
        <v>38</v>
      </c>
      <c r="P12" s="23" t="s">
        <v>38</v>
      </c>
      <c r="Q12" s="23" t="s">
        <v>38</v>
      </c>
      <c r="R12" s="23" t="s">
        <v>38</v>
      </c>
      <c r="S12" s="23" t="s">
        <v>38</v>
      </c>
      <c r="T12" s="23" t="s">
        <v>38</v>
      </c>
      <c r="U12" s="23" t="s">
        <v>38</v>
      </c>
      <c r="V12" s="23" t="s">
        <v>38</v>
      </c>
      <c r="W12" s="34" t="s">
        <v>38</v>
      </c>
      <c r="X12" s="23" t="s">
        <v>38</v>
      </c>
      <c r="Y12" s="23" t="s">
        <v>38</v>
      </c>
      <c r="Z12" s="23" t="s">
        <v>38</v>
      </c>
      <c r="AA12" s="23" t="s">
        <v>38</v>
      </c>
      <c r="AB12" s="23" t="s">
        <v>38</v>
      </c>
      <c r="AC12" s="23" t="s">
        <v>38</v>
      </c>
      <c r="AD12" s="23" t="s">
        <v>38</v>
      </c>
      <c r="AE12" s="23" t="s">
        <v>38</v>
      </c>
      <c r="AF12" s="23" t="s">
        <v>38</v>
      </c>
      <c r="AG12" s="23" t="s">
        <v>38</v>
      </c>
      <c r="AH12" s="23" t="s">
        <v>38</v>
      </c>
      <c r="AI12" s="23" t="s">
        <v>38</v>
      </c>
      <c r="AJ12" s="24">
        <f t="shared" si="4"/>
        <v>7</v>
      </c>
      <c r="AK12" s="24">
        <f t="shared" si="5"/>
        <v>0.5</v>
      </c>
      <c r="AL12" s="24">
        <f t="shared" si="6"/>
        <v>1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0</v>
      </c>
      <c r="AN12" s="70"/>
      <c r="AO12" s="73"/>
    </row>
    <row r="13" ht="19.5" customHeight="1">
      <c r="A13" s="20" t="str">
        <f t="shared" si="3"/>
        <v>RahmanHelperTandoor</v>
      </c>
      <c r="B13" s="21" t="s">
        <v>64</v>
      </c>
      <c r="C13" s="22" t="s">
        <v>15</v>
      </c>
      <c r="D13" s="22" t="s">
        <v>19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  <c r="K13" s="23" t="s">
        <v>20</v>
      </c>
      <c r="L13" s="23" t="s">
        <v>38</v>
      </c>
      <c r="M13" s="23" t="s">
        <v>38</v>
      </c>
      <c r="N13" s="23" t="s">
        <v>38</v>
      </c>
      <c r="O13" s="23" t="s">
        <v>38</v>
      </c>
      <c r="P13" s="23" t="s">
        <v>38</v>
      </c>
      <c r="Q13" s="23" t="s">
        <v>38</v>
      </c>
      <c r="R13" s="23" t="s">
        <v>38</v>
      </c>
      <c r="S13" s="23" t="s">
        <v>38</v>
      </c>
      <c r="T13" s="23" t="s">
        <v>38</v>
      </c>
      <c r="U13" s="23" t="s">
        <v>38</v>
      </c>
      <c r="V13" s="23" t="s">
        <v>38</v>
      </c>
      <c r="W13" s="34" t="s">
        <v>38</v>
      </c>
      <c r="X13" s="23" t="s">
        <v>38</v>
      </c>
      <c r="Y13" s="23" t="s">
        <v>38</v>
      </c>
      <c r="Z13" s="23" t="s">
        <v>38</v>
      </c>
      <c r="AA13" s="23" t="s">
        <v>38</v>
      </c>
      <c r="AB13" s="23" t="s">
        <v>38</v>
      </c>
      <c r="AC13" s="23" t="s">
        <v>38</v>
      </c>
      <c r="AD13" s="23" t="s">
        <v>38</v>
      </c>
      <c r="AE13" s="23" t="s">
        <v>38</v>
      </c>
      <c r="AF13" s="23" t="s">
        <v>38</v>
      </c>
      <c r="AG13" s="23" t="s">
        <v>38</v>
      </c>
      <c r="AH13" s="23" t="s">
        <v>38</v>
      </c>
      <c r="AI13" s="23" t="s">
        <v>38</v>
      </c>
      <c r="AJ13" s="24">
        <f t="shared" si="4"/>
        <v>6</v>
      </c>
      <c r="AK13" s="24">
        <f t="shared" si="5"/>
        <v>1</v>
      </c>
      <c r="AL13" s="24">
        <f t="shared" si="6"/>
        <v>0</v>
      </c>
      <c r="AM13" s="71">
        <v>30.0</v>
      </c>
      <c r="AN13" s="70"/>
      <c r="AO13" s="68"/>
    </row>
    <row r="14" ht="19.5" customHeight="1">
      <c r="A14" s="20" t="str">
        <f t="shared" si="3"/>
        <v>AbidCleanerService</v>
      </c>
      <c r="B14" s="88" t="s">
        <v>58</v>
      </c>
      <c r="C14" s="89" t="s">
        <v>61</v>
      </c>
      <c r="D14" s="89" t="s">
        <v>12</v>
      </c>
      <c r="E14" s="90" t="s">
        <v>13</v>
      </c>
      <c r="F14" s="90" t="s">
        <v>13</v>
      </c>
      <c r="G14" s="90" t="s">
        <v>13</v>
      </c>
      <c r="H14" s="90" t="s">
        <v>13</v>
      </c>
      <c r="I14" s="90" t="s">
        <v>13</v>
      </c>
      <c r="J14" s="90" t="s">
        <v>13</v>
      </c>
      <c r="K14" s="90" t="s">
        <v>20</v>
      </c>
      <c r="L14" s="90" t="s">
        <v>13</v>
      </c>
      <c r="M14" s="90" t="s">
        <v>13</v>
      </c>
      <c r="N14" s="90" t="s">
        <v>13</v>
      </c>
      <c r="O14" s="90" t="s">
        <v>13</v>
      </c>
      <c r="P14" s="90" t="s">
        <v>13</v>
      </c>
      <c r="Q14" s="90" t="s">
        <v>20</v>
      </c>
      <c r="R14" s="90" t="s">
        <v>13</v>
      </c>
      <c r="S14" s="90" t="s">
        <v>13</v>
      </c>
      <c r="T14" s="90" t="s">
        <v>13</v>
      </c>
      <c r="U14" s="90" t="s">
        <v>13</v>
      </c>
      <c r="V14" s="91" t="s">
        <v>13</v>
      </c>
      <c r="W14" s="90" t="s">
        <v>13</v>
      </c>
      <c r="X14" s="90" t="s">
        <v>20</v>
      </c>
      <c r="Y14" s="90" t="s">
        <v>13</v>
      </c>
      <c r="Z14" s="90" t="s">
        <v>13</v>
      </c>
      <c r="AA14" s="90" t="s">
        <v>13</v>
      </c>
      <c r="AB14" s="90" t="s">
        <v>13</v>
      </c>
      <c r="AC14" s="90" t="s">
        <v>13</v>
      </c>
      <c r="AD14" s="90" t="s">
        <v>13</v>
      </c>
      <c r="AE14" s="90" t="s">
        <v>13</v>
      </c>
      <c r="AF14" s="90" t="s">
        <v>13</v>
      </c>
      <c r="AG14" s="90" t="s">
        <v>13</v>
      </c>
      <c r="AH14" s="90" t="s">
        <v>13</v>
      </c>
      <c r="AI14" s="90" t="s">
        <v>13</v>
      </c>
      <c r="AJ14" s="92">
        <f t="shared" si="4"/>
        <v>28</v>
      </c>
      <c r="AK14" s="92">
        <f t="shared" si="5"/>
        <v>3</v>
      </c>
      <c r="AL14" s="92">
        <f t="shared" si="6"/>
        <v>0</v>
      </c>
      <c r="AM14" s="93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29</v>
      </c>
      <c r="AN14" s="96"/>
      <c r="AO14" s="93"/>
      <c r="AP14" s="95"/>
    </row>
    <row r="15" ht="19.5" customHeight="1">
      <c r="A15" s="20" t="str">
        <f t="shared" si="3"/>
        <v>PrakashHelperChinese</v>
      </c>
      <c r="B15" s="21" t="s">
        <v>65</v>
      </c>
      <c r="C15" s="22" t="s">
        <v>15</v>
      </c>
      <c r="D15" s="22" t="s">
        <v>40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23" t="s">
        <v>20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20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20</v>
      </c>
      <c r="Y15" s="23" t="s">
        <v>20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27</v>
      </c>
      <c r="AK15" s="24">
        <f t="shared" si="5"/>
        <v>4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28</v>
      </c>
      <c r="AN15" s="70">
        <v>500.0</v>
      </c>
      <c r="AO15" s="68"/>
    </row>
    <row r="16" ht="19.5" customHeight="1">
      <c r="A16" s="20" t="str">
        <f t="shared" si="3"/>
        <v>AdityaWaiterService</v>
      </c>
      <c r="B16" s="21" t="s">
        <v>66</v>
      </c>
      <c r="C16" s="20" t="s">
        <v>22</v>
      </c>
      <c r="D16" s="20" t="s">
        <v>12</v>
      </c>
      <c r="E16" s="23"/>
      <c r="F16" s="23"/>
      <c r="G16" s="23"/>
      <c r="H16" s="23"/>
      <c r="I16" s="23"/>
      <c r="J16" s="23"/>
      <c r="K16" s="23"/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20</v>
      </c>
      <c r="AB16" s="23" t="s">
        <v>13</v>
      </c>
      <c r="AC16" s="23" t="s">
        <v>20</v>
      </c>
      <c r="AD16" s="23" t="s">
        <v>13</v>
      </c>
      <c r="AE16" s="23" t="s">
        <v>13</v>
      </c>
      <c r="AF16" s="23" t="s">
        <v>34</v>
      </c>
      <c r="AG16" s="23" t="s">
        <v>13</v>
      </c>
      <c r="AH16" s="23" t="s">
        <v>13</v>
      </c>
      <c r="AI16" s="23" t="s">
        <v>13</v>
      </c>
      <c r="AJ16" s="24">
        <f t="shared" si="4"/>
        <v>21</v>
      </c>
      <c r="AK16" s="24">
        <f t="shared" si="5"/>
        <v>2.5</v>
      </c>
      <c r="AL16" s="24">
        <f t="shared" si="6"/>
        <v>1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0</v>
      </c>
      <c r="AN16" s="70"/>
      <c r="AO16" s="68"/>
    </row>
    <row r="17" ht="19.5" customHeight="1">
      <c r="A17" s="20" t="str">
        <f t="shared" si="3"/>
        <v>ImranHelperIndian</v>
      </c>
      <c r="B17" s="21" t="s">
        <v>67</v>
      </c>
      <c r="C17" s="20" t="s">
        <v>15</v>
      </c>
      <c r="D17" s="20" t="s">
        <v>33</v>
      </c>
      <c r="E17" s="23"/>
      <c r="F17" s="23"/>
      <c r="G17" s="23"/>
      <c r="H17" s="23"/>
      <c r="I17" s="23"/>
      <c r="J17" s="23"/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20</v>
      </c>
      <c r="AJ17" s="24">
        <f t="shared" si="4"/>
        <v>24</v>
      </c>
      <c r="AK17" s="24">
        <f t="shared" si="5"/>
        <v>1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25</v>
      </c>
      <c r="AN17" s="70">
        <v>2000.0</v>
      </c>
      <c r="AO17" s="68"/>
    </row>
    <row r="18" ht="19.5" customHeight="1">
      <c r="A18" s="20" t="str">
        <f t="shared" si="3"/>
        <v>SuhailWaiterService</v>
      </c>
      <c r="B18" s="21" t="s">
        <v>21</v>
      </c>
      <c r="C18" s="20" t="s">
        <v>22</v>
      </c>
      <c r="D18" s="20" t="s">
        <v>12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 t="s">
        <v>13</v>
      </c>
      <c r="AJ18" s="24">
        <f t="shared" si="4"/>
        <v>13</v>
      </c>
      <c r="AK18" s="24">
        <f t="shared" si="5"/>
        <v>0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13</v>
      </c>
      <c r="AN18" s="69"/>
      <c r="AO18" s="68"/>
    </row>
    <row r="19" ht="19.5" customHeight="1">
      <c r="A19" s="20" t="str">
        <f t="shared" si="3"/>
        <v>WakilHelperTandoor</v>
      </c>
      <c r="B19" s="21" t="s">
        <v>24</v>
      </c>
      <c r="C19" s="20" t="s">
        <v>15</v>
      </c>
      <c r="D19" s="20" t="s">
        <v>19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 t="s">
        <v>34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4"/>
        <v>11</v>
      </c>
      <c r="AK19" s="24">
        <f t="shared" si="5"/>
        <v>0.5</v>
      </c>
      <c r="AL19" s="24">
        <f t="shared" si="6"/>
        <v>1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0</v>
      </c>
      <c r="AN19" s="69"/>
      <c r="AO19" s="68"/>
    </row>
    <row r="20" ht="19.5" customHeight="1">
      <c r="A20" s="20" t="str">
        <f t="shared" si="3"/>
        <v>Saday VarisChefIndian</v>
      </c>
      <c r="B20" s="21" t="s">
        <v>68</v>
      </c>
      <c r="C20" s="20" t="s">
        <v>18</v>
      </c>
      <c r="D20" s="20" t="s">
        <v>33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3" t="s">
        <v>13</v>
      </c>
      <c r="AJ20" s="24">
        <f t="shared" si="4"/>
        <v>6</v>
      </c>
      <c r="AK20" s="24">
        <f t="shared" si="5"/>
        <v>0</v>
      </c>
      <c r="AL20" s="24">
        <f t="shared" si="6"/>
        <v>0</v>
      </c>
      <c r="AM20" s="68">
        <f>IFERROR(
  (AJ20 + AL20 * 0.5) + 
  IF(DAY(EOMONTH(E$2, 0)) = 28, VLOOKUP((AJ20 + AL20 * 0.5), Lookup!G:H, 2, FALSE),
    IF(DAY(EOMONTH(E$2, 0)) = 29, VLOOKUP((AJ20 + AL20 * 0.5), Lookup!E:F, 2, FALSE),
      IF(DAY(EOMONTH(E$2, 0)) = 30, VLOOKUP((AJ20 + AL20 * 0.5), Lookup!C:D, 2, FALSE),
        IF(DAY(EOMONTH(E$2, 0)) = 31, VLOOKUP((AJ20 + AL20 * 0.5), Lookup!A:B, 2, FALSE),
          0
        )
      )
    )
  ),
0)
</f>
        <v>6</v>
      </c>
      <c r="AN20" s="69"/>
      <c r="AO20" s="68"/>
    </row>
    <row r="21" ht="19.5" customHeight="1">
      <c r="A21" s="26"/>
      <c r="B21" s="27"/>
      <c r="C21" s="26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4">
        <f t="shared" si="4"/>
        <v>0</v>
      </c>
      <c r="AK21" s="24">
        <f t="shared" si="5"/>
        <v>0</v>
      </c>
      <c r="AL21" s="24">
        <f t="shared" si="6"/>
        <v>0</v>
      </c>
      <c r="AM21" s="68">
        <f>IFERROR(
  (AJ21 + AL21 * 0.5) + 
  IF(DAY(EOMONTH(E$2, 0)) = 28, VLOOKUP((AJ21 + AL21 * 0.5), Lookup!G:H, 2, FALSE),
    IF(DAY(EOMONTH(E$2, 0)) = 29, VLOOKUP((AJ21 + AL21 * 0.5), Lookup!E:F, 2, FALSE),
      IF(DAY(EOMONTH(E$2, 0)) = 30, VLOOKUP((AJ21 + AL21 * 0.5), Lookup!C:D, 2, FALSE),
        IF(DAY(EOMONTH(E$2, 0)) = 31, VLOOKUP((AJ21 + AL21 * 0.5), Lookup!A:B, 2, FALSE),
          0
        )
      )
    )
  ),
0)
</f>
        <v>0</v>
      </c>
      <c r="AN21" s="69"/>
      <c r="AO21" s="68"/>
    </row>
    <row r="22" ht="19.5" customHeight="1">
      <c r="A22" s="26"/>
      <c r="B22" s="27"/>
      <c r="C22" s="26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4">
        <f t="shared" si="4"/>
        <v>0</v>
      </c>
      <c r="AK22" s="24">
        <f t="shared" si="5"/>
        <v>0</v>
      </c>
      <c r="AL22" s="24">
        <f t="shared" si="6"/>
        <v>0</v>
      </c>
      <c r="AM22" s="68">
        <f>IFERROR(
  (AJ22 + AL22 * 0.5) + 
  IF(DAY(EOMONTH(E$2, 0)) = 28, VLOOKUP((AJ22 + AL22 * 0.5), Lookup!G:H, 2, FALSE),
    IF(DAY(EOMONTH(E$2, 0)) = 29, VLOOKUP((AJ22 + AL22 * 0.5), Lookup!E:F, 2, FALSE),
      IF(DAY(EOMONTH(E$2, 0)) = 30, VLOOKUP((AJ22 + AL22 * 0.5), Lookup!C:D, 2, FALSE),
        IF(DAY(EOMONTH(E$2, 0)) = 31, VLOOKUP((AJ22 + AL22 * 0.5), Lookup!A:B, 2, FALSE),
          0
        )
      )
    )
  ),
0)
</f>
        <v>0</v>
      </c>
      <c r="AN22" s="69"/>
      <c r="AO22" s="68"/>
    </row>
    <row r="23" ht="19.5" customHeight="1">
      <c r="A23" s="26"/>
      <c r="B23" s="27"/>
      <c r="C23" s="26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>
        <f t="shared" si="4"/>
        <v>0</v>
      </c>
      <c r="AK23" s="24">
        <f t="shared" si="5"/>
        <v>0</v>
      </c>
      <c r="AL23" s="24">
        <f t="shared" si="6"/>
        <v>0</v>
      </c>
      <c r="AM23" s="68">
        <f>IFERROR(
  (AJ23 + AL23 * 0.5) + 
  IF(DAY(EOMONTH(E$2, 0)) = 28, VLOOKUP((AJ23 + AL23 * 0.5), Lookup!G:H, 2, FALSE),
    IF(DAY(EOMONTH(E$2, 0)) = 29, VLOOKUP((AJ23 + AL23 * 0.5), Lookup!E:F, 2, FALSE),
      IF(DAY(EOMONTH(E$2, 0)) = 30, VLOOKUP((AJ23 + AL23 * 0.5), Lookup!C:D, 2, FALSE),
        IF(DAY(EOMONTH(E$2, 0)) = 31, VLOOKUP((AJ23 + AL23 * 0.5), Lookup!A:B, 2, FALSE),
          0
        )
      )
    )
  ),
0)
</f>
        <v>0</v>
      </c>
      <c r="AN23" s="69"/>
      <c r="AO23" s="68"/>
    </row>
    <row r="24" ht="19.5" customHeight="1">
      <c r="A24" s="26"/>
      <c r="B24" s="27"/>
      <c r="C24" s="26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>
        <f t="shared" si="4"/>
        <v>0</v>
      </c>
      <c r="AK24" s="24">
        <f t="shared" si="5"/>
        <v>0</v>
      </c>
      <c r="AL24" s="24">
        <f t="shared" si="6"/>
        <v>0</v>
      </c>
      <c r="AM24" s="68">
        <f>IFERROR(
  (AJ24 + AL24 * 0.5) + 
  IF(DAY(EOMONTH(E$2, 0)) = 28, VLOOKUP((AJ24 + AL24 * 0.5), Lookup!G:H, 2, FALSE),
    IF(DAY(EOMONTH(E$2, 0)) = 29, VLOOKUP((AJ24 + AL24 * 0.5), Lookup!E:F, 2, FALSE),
      IF(DAY(EOMONTH(E$2, 0)) = 30, VLOOKUP((AJ24 + AL24 * 0.5), Lookup!C:D, 2, FALSE),
        IF(DAY(EOMONTH(E$2, 0)) = 31, VLOOKUP((AJ24 + AL24 * 0.5), Lookup!A:B, 2, FALSE),
          0
        )
      )
    )
  ),
0)
</f>
        <v>0</v>
      </c>
      <c r="AN24" s="69"/>
      <c r="AO24" s="68"/>
    </row>
    <row r="25" ht="19.5" customHeight="1">
      <c r="A25" s="26"/>
      <c r="B25" s="29"/>
      <c r="C25" s="28"/>
      <c r="D25" s="28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24">
        <f t="shared" si="5"/>
        <v>0</v>
      </c>
      <c r="AL25" s="24">
        <f t="shared" si="6"/>
        <v>0</v>
      </c>
      <c r="AM25" s="68">
        <f>IFERROR(
  (AJ25 + AL25 * 0.5) + 
  IF(DAY(EOMONTH(E$2, 0)) = 28, VLOOKUP((AJ25 + AL25 * 0.5), Lookup!G:H, 2, FALSE),
    IF(DAY(EOMONTH(E$2, 0)) = 29, VLOOKUP((AJ25 + AL25 * 0.5), Lookup!E:F, 2, FALSE),
      IF(DAY(EOMONTH(E$2, 0)) = 30, VLOOKUP((AJ25 + AL25 * 0.5), Lookup!C:D, 2, FALSE),
        IF(DAY(EOMONTH(E$2, 0)) = 31, VLOOKUP((AJ25 + AL25 * 0.5), Lookup!A:B, 2, FALSE),
          0
        )
      )
    )
  ),
0)
</f>
        <v>0</v>
      </c>
      <c r="AN25" s="75"/>
      <c r="AO25" s="74"/>
    </row>
    <row r="26" ht="19.5" customHeight="1">
      <c r="A26" s="26"/>
      <c r="AN26" s="76"/>
      <c r="AO26" s="77"/>
    </row>
    <row r="27" ht="19.5" customHeight="1">
      <c r="A27" s="26"/>
      <c r="AN27" s="76"/>
      <c r="AO27" s="77"/>
      <c r="AP27" s="76"/>
    </row>
    <row r="28" ht="19.5" hidden="1" customHeight="1">
      <c r="A28" s="28"/>
      <c r="AP28" s="76"/>
    </row>
  </sheetData>
  <mergeCells count="1">
    <mergeCell ref="E1:U1"/>
  </mergeCells>
  <dataValidations>
    <dataValidation type="list" allowBlank="1" showErrorMessage="1" sqref="E4:AI24 E25:AJ25">
      <formula1>"Present,Off,Half Day,Left"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8.5"/>
    <col customWidth="1" min="5" max="5" width="9.63"/>
    <col customWidth="1" min="6" max="35" width="6.13"/>
    <col customWidth="1" min="36" max="36" width="9.75"/>
    <col customWidth="1" min="37" max="37" width="7.63"/>
    <col customWidth="1" min="38" max="38" width="9.38"/>
    <col customWidth="1" min="39" max="39" width="8.63"/>
    <col customWidth="1" min="40" max="41" width="9.38"/>
    <col customWidth="1" min="42" max="42" width="11.5"/>
  </cols>
  <sheetData>
    <row r="1" ht="3.0" customHeight="1">
      <c r="A1" s="5"/>
      <c r="B1" s="5" t="s">
        <v>59</v>
      </c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45870.0</v>
      </c>
      <c r="F2" s="12">
        <f t="shared" ref="F2:AI2" si="1">IF(MONTH(E2+1)=MONTH(EOMONTH($E$2,0)),E2+1,"")</f>
        <v>45871</v>
      </c>
      <c r="G2" s="12">
        <f t="shared" si="1"/>
        <v>45872</v>
      </c>
      <c r="H2" s="12">
        <f t="shared" si="1"/>
        <v>45873</v>
      </c>
      <c r="I2" s="12">
        <f t="shared" si="1"/>
        <v>45874</v>
      </c>
      <c r="J2" s="12">
        <f t="shared" si="1"/>
        <v>45875</v>
      </c>
      <c r="K2" s="12">
        <f t="shared" si="1"/>
        <v>45876</v>
      </c>
      <c r="L2" s="12">
        <f t="shared" si="1"/>
        <v>45877</v>
      </c>
      <c r="M2" s="12">
        <f t="shared" si="1"/>
        <v>45878</v>
      </c>
      <c r="N2" s="12">
        <f t="shared" si="1"/>
        <v>45879</v>
      </c>
      <c r="O2" s="12">
        <f t="shared" si="1"/>
        <v>45880</v>
      </c>
      <c r="P2" s="12">
        <f t="shared" si="1"/>
        <v>45881</v>
      </c>
      <c r="Q2" s="12">
        <f t="shared" si="1"/>
        <v>45882</v>
      </c>
      <c r="R2" s="12">
        <f t="shared" si="1"/>
        <v>45883</v>
      </c>
      <c r="S2" s="12">
        <f t="shared" si="1"/>
        <v>45884</v>
      </c>
      <c r="T2" s="12">
        <f t="shared" si="1"/>
        <v>45885</v>
      </c>
      <c r="U2" s="12">
        <f t="shared" si="1"/>
        <v>45886</v>
      </c>
      <c r="V2" s="12">
        <f t="shared" si="1"/>
        <v>45887</v>
      </c>
      <c r="W2" s="12">
        <f t="shared" si="1"/>
        <v>45888</v>
      </c>
      <c r="X2" s="12">
        <f t="shared" si="1"/>
        <v>45889</v>
      </c>
      <c r="Y2" s="12">
        <f t="shared" si="1"/>
        <v>45890</v>
      </c>
      <c r="Z2" s="12">
        <f t="shared" si="1"/>
        <v>45891</v>
      </c>
      <c r="AA2" s="12">
        <f t="shared" si="1"/>
        <v>45892</v>
      </c>
      <c r="AB2" s="12">
        <f t="shared" si="1"/>
        <v>45893</v>
      </c>
      <c r="AC2" s="12">
        <f t="shared" si="1"/>
        <v>45894</v>
      </c>
      <c r="AD2" s="12">
        <f t="shared" si="1"/>
        <v>45895</v>
      </c>
      <c r="AE2" s="12">
        <f t="shared" si="1"/>
        <v>45896</v>
      </c>
      <c r="AF2" s="12">
        <f t="shared" si="1"/>
        <v>45897</v>
      </c>
      <c r="AG2" s="12">
        <f t="shared" si="1"/>
        <v>45898</v>
      </c>
      <c r="AH2" s="12">
        <f t="shared" si="1"/>
        <v>45899</v>
      </c>
      <c r="AI2" s="12">
        <f t="shared" si="1"/>
        <v>45900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45870</v>
      </c>
      <c r="F3" s="17">
        <f t="shared" si="2"/>
        <v>45871</v>
      </c>
      <c r="G3" s="17">
        <f t="shared" si="2"/>
        <v>45872</v>
      </c>
      <c r="H3" s="17">
        <f t="shared" si="2"/>
        <v>45873</v>
      </c>
      <c r="I3" s="17">
        <f t="shared" si="2"/>
        <v>45874</v>
      </c>
      <c r="J3" s="17">
        <f t="shared" si="2"/>
        <v>45875</v>
      </c>
      <c r="K3" s="17">
        <f t="shared" si="2"/>
        <v>45876</v>
      </c>
      <c r="L3" s="17">
        <f t="shared" si="2"/>
        <v>45877</v>
      </c>
      <c r="M3" s="17">
        <f t="shared" si="2"/>
        <v>45878</v>
      </c>
      <c r="N3" s="17">
        <f t="shared" si="2"/>
        <v>45879</v>
      </c>
      <c r="O3" s="17">
        <f t="shared" si="2"/>
        <v>45880</v>
      </c>
      <c r="P3" s="17">
        <f t="shared" si="2"/>
        <v>45881</v>
      </c>
      <c r="Q3" s="17">
        <f t="shared" si="2"/>
        <v>45882</v>
      </c>
      <c r="R3" s="17">
        <f t="shared" si="2"/>
        <v>45883</v>
      </c>
      <c r="S3" s="17">
        <f t="shared" si="2"/>
        <v>45884</v>
      </c>
      <c r="T3" s="17">
        <f t="shared" si="2"/>
        <v>45885</v>
      </c>
      <c r="U3" s="17">
        <f t="shared" si="2"/>
        <v>45886</v>
      </c>
      <c r="V3" s="17">
        <f t="shared" si="2"/>
        <v>45887</v>
      </c>
      <c r="W3" s="17">
        <f t="shared" si="2"/>
        <v>45888</v>
      </c>
      <c r="X3" s="17">
        <f t="shared" si="2"/>
        <v>45889</v>
      </c>
      <c r="Y3" s="17">
        <f t="shared" si="2"/>
        <v>45890</v>
      </c>
      <c r="Z3" s="17">
        <f t="shared" si="2"/>
        <v>45891</v>
      </c>
      <c r="AA3" s="17">
        <f t="shared" si="2"/>
        <v>45892</v>
      </c>
      <c r="AB3" s="17">
        <f t="shared" si="2"/>
        <v>45893</v>
      </c>
      <c r="AC3" s="17">
        <f t="shared" si="2"/>
        <v>45894</v>
      </c>
      <c r="AD3" s="17">
        <f t="shared" si="2"/>
        <v>45895</v>
      </c>
      <c r="AE3" s="17">
        <f t="shared" si="2"/>
        <v>45896</v>
      </c>
      <c r="AF3" s="17">
        <f t="shared" si="2"/>
        <v>45897</v>
      </c>
      <c r="AG3" s="17">
        <f t="shared" si="2"/>
        <v>45898</v>
      </c>
      <c r="AH3" s="17">
        <f t="shared" si="2"/>
        <v>45899</v>
      </c>
      <c r="AI3" s="17">
        <f t="shared" si="2"/>
        <v>45900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1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21" si="4">if(countif($E4:$AI4,AJ$3)&gt;day(EOMONTH($T$2,0)),"Error",countif($E4:$AI4,AJ$3))</f>
        <v>31</v>
      </c>
      <c r="AK4" s="24">
        <f t="shared" ref="AK4:AK21" si="5">countif($E4:$AH4,AK$3)+(sum(AL4)/2)</f>
        <v>0</v>
      </c>
      <c r="AL4" s="24">
        <f t="shared" ref="AL4:AL21" si="6">countif($E4:$AH4,AL$3)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67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/>
      <c r="AO5" s="71"/>
    </row>
    <row r="6" ht="19.5" customHeight="1">
      <c r="A6" s="20" t="str">
        <f t="shared" si="3"/>
        <v>VijayChefTandoor</v>
      </c>
      <c r="B6" s="21" t="s">
        <v>25</v>
      </c>
      <c r="C6" s="22" t="s">
        <v>18</v>
      </c>
      <c r="D6" s="22" t="s">
        <v>19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67" t="s">
        <v>13</v>
      </c>
      <c r="R6" s="23" t="s">
        <v>13</v>
      </c>
      <c r="S6" s="23" t="s">
        <v>13</v>
      </c>
      <c r="T6" s="23" t="s">
        <v>13</v>
      </c>
      <c r="U6" s="23" t="s">
        <v>20</v>
      </c>
      <c r="V6" s="23" t="s">
        <v>38</v>
      </c>
      <c r="W6" s="34" t="s">
        <v>38</v>
      </c>
      <c r="X6" s="23" t="s">
        <v>38</v>
      </c>
      <c r="Y6" s="23" t="s">
        <v>38</v>
      </c>
      <c r="Z6" s="23" t="s">
        <v>38</v>
      </c>
      <c r="AA6" s="67" t="s">
        <v>38</v>
      </c>
      <c r="AB6" s="67" t="s">
        <v>38</v>
      </c>
      <c r="AC6" s="67" t="s">
        <v>38</v>
      </c>
      <c r="AD6" s="23" t="s">
        <v>38</v>
      </c>
      <c r="AE6" s="23" t="s">
        <v>38</v>
      </c>
      <c r="AF6" s="23" t="s">
        <v>38</v>
      </c>
      <c r="AG6" s="23" t="s">
        <v>38</v>
      </c>
      <c r="AH6" s="23" t="s">
        <v>38</v>
      </c>
      <c r="AI6" s="23" t="s">
        <v>38</v>
      </c>
      <c r="AJ6" s="24">
        <f t="shared" si="4"/>
        <v>16</v>
      </c>
      <c r="AK6" s="24">
        <f t="shared" si="5"/>
        <v>1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17</v>
      </c>
      <c r="AN6" s="70"/>
      <c r="AO6" s="87"/>
    </row>
    <row r="7" ht="19.5" customHeight="1">
      <c r="A7" s="20" t="str">
        <f t="shared" si="3"/>
        <v>SameerBillerService</v>
      </c>
      <c r="B7" s="21" t="s">
        <v>23</v>
      </c>
      <c r="C7" s="22" t="s">
        <v>42</v>
      </c>
      <c r="D7" s="22" t="s">
        <v>12</v>
      </c>
      <c r="E7" s="67" t="s">
        <v>13</v>
      </c>
      <c r="F7" s="67" t="s">
        <v>13</v>
      </c>
      <c r="G7" s="67" t="s">
        <v>34</v>
      </c>
      <c r="H7" s="67" t="s">
        <v>38</v>
      </c>
      <c r="I7" s="67" t="s">
        <v>38</v>
      </c>
      <c r="J7" s="67" t="s">
        <v>38</v>
      </c>
      <c r="K7" s="67" t="s">
        <v>38</v>
      </c>
      <c r="L7" s="23" t="s">
        <v>38</v>
      </c>
      <c r="M7" s="23" t="s">
        <v>38</v>
      </c>
      <c r="N7" s="23" t="s">
        <v>38</v>
      </c>
      <c r="O7" s="23" t="s">
        <v>38</v>
      </c>
      <c r="P7" s="67" t="s">
        <v>38</v>
      </c>
      <c r="Q7" s="67" t="s">
        <v>38</v>
      </c>
      <c r="R7" s="23" t="s">
        <v>38</v>
      </c>
      <c r="S7" s="23" t="s">
        <v>38</v>
      </c>
      <c r="T7" s="23" t="s">
        <v>38</v>
      </c>
      <c r="U7" s="23" t="s">
        <v>38</v>
      </c>
      <c r="V7" s="23" t="s">
        <v>38</v>
      </c>
      <c r="W7" s="34" t="s">
        <v>38</v>
      </c>
      <c r="X7" s="23" t="s">
        <v>38</v>
      </c>
      <c r="Y7" s="23" t="s">
        <v>38</v>
      </c>
      <c r="Z7" s="23" t="s">
        <v>38</v>
      </c>
      <c r="AA7" s="67" t="s">
        <v>38</v>
      </c>
      <c r="AB7" s="67" t="s">
        <v>38</v>
      </c>
      <c r="AC7" s="67" t="s">
        <v>38</v>
      </c>
      <c r="AD7" s="23" t="s">
        <v>38</v>
      </c>
      <c r="AE7" s="23" t="s">
        <v>38</v>
      </c>
      <c r="AF7" s="23" t="s">
        <v>38</v>
      </c>
      <c r="AG7" s="23" t="s">
        <v>38</v>
      </c>
      <c r="AH7" s="23" t="s">
        <v>38</v>
      </c>
      <c r="AI7" s="23" t="s">
        <v>38</v>
      </c>
      <c r="AJ7" s="24">
        <f t="shared" si="4"/>
        <v>2</v>
      </c>
      <c r="AK7" s="24">
        <f t="shared" si="5"/>
        <v>0.5</v>
      </c>
      <c r="AL7" s="24">
        <f t="shared" si="6"/>
        <v>1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0</v>
      </c>
      <c r="AN7" s="70"/>
      <c r="AO7" s="73"/>
    </row>
    <row r="8" ht="19.5" customHeight="1">
      <c r="A8" s="20" t="str">
        <f t="shared" si="3"/>
        <v>IrfanChefChinese</v>
      </c>
      <c r="B8" s="21" t="s">
        <v>44</v>
      </c>
      <c r="C8" s="22" t="s">
        <v>18</v>
      </c>
      <c r="D8" s="22" t="s">
        <v>40</v>
      </c>
      <c r="E8" s="67" t="s">
        <v>13</v>
      </c>
      <c r="F8" s="67" t="s">
        <v>13</v>
      </c>
      <c r="G8" s="67" t="s">
        <v>13</v>
      </c>
      <c r="H8" s="67" t="s">
        <v>13</v>
      </c>
      <c r="I8" s="67" t="s">
        <v>13</v>
      </c>
      <c r="J8" s="67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67" t="s">
        <v>34</v>
      </c>
      <c r="Q8" s="67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34" t="s">
        <v>34</v>
      </c>
      <c r="X8" s="23" t="s">
        <v>13</v>
      </c>
      <c r="Y8" s="23" t="s">
        <v>20</v>
      </c>
      <c r="Z8" s="23" t="s">
        <v>13</v>
      </c>
      <c r="AA8" s="67" t="s">
        <v>13</v>
      </c>
      <c r="AB8" s="67" t="s">
        <v>13</v>
      </c>
      <c r="AC8" s="67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28</v>
      </c>
      <c r="AK8" s="24">
        <f t="shared" si="5"/>
        <v>2</v>
      </c>
      <c r="AL8" s="24">
        <f t="shared" si="6"/>
        <v>2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31</v>
      </c>
      <c r="AN8" s="69"/>
      <c r="AO8" s="71"/>
    </row>
    <row r="9" ht="19.5" customHeight="1">
      <c r="A9" s="20" t="str">
        <f t="shared" si="3"/>
        <v>Ram KumarHelperIndian</v>
      </c>
      <c r="B9" s="21" t="s">
        <v>62</v>
      </c>
      <c r="C9" s="22" t="s">
        <v>15</v>
      </c>
      <c r="D9" s="22" t="s">
        <v>33</v>
      </c>
      <c r="E9" s="67" t="s">
        <v>13</v>
      </c>
      <c r="F9" s="67" t="s">
        <v>38</v>
      </c>
      <c r="G9" s="67" t="s">
        <v>38</v>
      </c>
      <c r="H9" s="67" t="s">
        <v>38</v>
      </c>
      <c r="I9" s="67" t="s">
        <v>38</v>
      </c>
      <c r="J9" s="67" t="s">
        <v>38</v>
      </c>
      <c r="K9" s="67" t="s">
        <v>38</v>
      </c>
      <c r="L9" s="23" t="s">
        <v>38</v>
      </c>
      <c r="M9" s="23" t="s">
        <v>38</v>
      </c>
      <c r="N9" s="23" t="s">
        <v>38</v>
      </c>
      <c r="O9" s="23" t="s">
        <v>38</v>
      </c>
      <c r="P9" s="23" t="s">
        <v>38</v>
      </c>
      <c r="Q9" s="23" t="s">
        <v>38</v>
      </c>
      <c r="R9" s="23" t="s">
        <v>38</v>
      </c>
      <c r="S9" s="23" t="s">
        <v>38</v>
      </c>
      <c r="T9" s="23" t="s">
        <v>38</v>
      </c>
      <c r="U9" s="23" t="s">
        <v>38</v>
      </c>
      <c r="V9" s="23" t="s">
        <v>38</v>
      </c>
      <c r="W9" s="34" t="s">
        <v>38</v>
      </c>
      <c r="X9" s="23" t="s">
        <v>38</v>
      </c>
      <c r="Y9" s="23" t="s">
        <v>38</v>
      </c>
      <c r="Z9" s="23" t="s">
        <v>38</v>
      </c>
      <c r="AA9" s="67" t="s">
        <v>38</v>
      </c>
      <c r="AB9" s="67" t="s">
        <v>38</v>
      </c>
      <c r="AC9" s="67" t="s">
        <v>38</v>
      </c>
      <c r="AD9" s="23" t="s">
        <v>38</v>
      </c>
      <c r="AE9" s="23" t="s">
        <v>38</v>
      </c>
      <c r="AF9" s="23" t="s">
        <v>38</v>
      </c>
      <c r="AG9" s="23" t="s">
        <v>38</v>
      </c>
      <c r="AH9" s="23" t="s">
        <v>38</v>
      </c>
      <c r="AI9" s="23" t="s">
        <v>38</v>
      </c>
      <c r="AJ9" s="24">
        <f t="shared" si="4"/>
        <v>1</v>
      </c>
      <c r="AK9" s="24">
        <f t="shared" si="5"/>
        <v>0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1</v>
      </c>
      <c r="AN9" s="70"/>
      <c r="AO9" s="68"/>
    </row>
    <row r="10" ht="19.5" customHeight="1">
      <c r="A10" s="20" t="str">
        <f t="shared" si="3"/>
        <v>AbidCleanerMori</v>
      </c>
      <c r="B10" s="88" t="s">
        <v>58</v>
      </c>
      <c r="C10" s="89" t="s">
        <v>61</v>
      </c>
      <c r="D10" s="89" t="s">
        <v>16</v>
      </c>
      <c r="E10" s="90" t="s">
        <v>13</v>
      </c>
      <c r="F10" s="90" t="s">
        <v>13</v>
      </c>
      <c r="G10" s="90" t="s">
        <v>13</v>
      </c>
      <c r="H10" s="90" t="s">
        <v>13</v>
      </c>
      <c r="I10" s="90" t="s">
        <v>13</v>
      </c>
      <c r="J10" s="90" t="s">
        <v>13</v>
      </c>
      <c r="K10" s="90" t="s">
        <v>13</v>
      </c>
      <c r="L10" s="90" t="s">
        <v>13</v>
      </c>
      <c r="M10" s="90" t="s">
        <v>13</v>
      </c>
      <c r="N10" s="90" t="s">
        <v>13</v>
      </c>
      <c r="O10" s="90" t="s">
        <v>13</v>
      </c>
      <c r="P10" s="90" t="s">
        <v>13</v>
      </c>
      <c r="Q10" s="90" t="s">
        <v>13</v>
      </c>
      <c r="R10" s="90" t="s">
        <v>13</v>
      </c>
      <c r="S10" s="90" t="s">
        <v>13</v>
      </c>
      <c r="T10" s="90" t="s">
        <v>13</v>
      </c>
      <c r="U10" s="90" t="s">
        <v>13</v>
      </c>
      <c r="V10" s="91" t="s">
        <v>13</v>
      </c>
      <c r="W10" s="90" t="s">
        <v>13</v>
      </c>
      <c r="X10" s="90" t="s">
        <v>13</v>
      </c>
      <c r="Y10" s="90" t="s">
        <v>13</v>
      </c>
      <c r="Z10" s="90" t="s">
        <v>13</v>
      </c>
      <c r="AA10" s="90" t="s">
        <v>13</v>
      </c>
      <c r="AB10" s="90" t="s">
        <v>13</v>
      </c>
      <c r="AC10" s="90" t="s">
        <v>13</v>
      </c>
      <c r="AD10" s="90" t="s">
        <v>13</v>
      </c>
      <c r="AE10" s="90" t="s">
        <v>13</v>
      </c>
      <c r="AF10" s="90" t="s">
        <v>13</v>
      </c>
      <c r="AG10" s="90" t="s">
        <v>13</v>
      </c>
      <c r="AH10" s="90" t="s">
        <v>13</v>
      </c>
      <c r="AI10" s="90" t="s">
        <v>13</v>
      </c>
      <c r="AJ10" s="24">
        <f t="shared" si="4"/>
        <v>31</v>
      </c>
      <c r="AK10" s="24">
        <f t="shared" si="5"/>
        <v>0</v>
      </c>
      <c r="AL10" s="24">
        <f t="shared" si="6"/>
        <v>0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33</v>
      </c>
      <c r="AN10" s="96"/>
      <c r="AO10" s="93"/>
      <c r="AP10" s="95"/>
    </row>
    <row r="11" ht="19.5" customHeight="1">
      <c r="A11" s="20" t="str">
        <f t="shared" si="3"/>
        <v>PrakashHelperChinese</v>
      </c>
      <c r="B11" s="21" t="s">
        <v>65</v>
      </c>
      <c r="C11" s="22" t="s">
        <v>15</v>
      </c>
      <c r="D11" s="22" t="s">
        <v>40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38</v>
      </c>
      <c r="L11" s="23" t="s">
        <v>38</v>
      </c>
      <c r="M11" s="23" t="s">
        <v>38</v>
      </c>
      <c r="N11" s="23" t="s">
        <v>38</v>
      </c>
      <c r="O11" s="23" t="s">
        <v>38</v>
      </c>
      <c r="P11" s="23" t="s">
        <v>38</v>
      </c>
      <c r="Q11" s="23" t="s">
        <v>38</v>
      </c>
      <c r="R11" s="23" t="s">
        <v>38</v>
      </c>
      <c r="S11" s="23" t="s">
        <v>38</v>
      </c>
      <c r="T11" s="23" t="s">
        <v>38</v>
      </c>
      <c r="U11" s="23" t="s">
        <v>38</v>
      </c>
      <c r="V11" s="23" t="s">
        <v>38</v>
      </c>
      <c r="W11" s="23" t="s">
        <v>38</v>
      </c>
      <c r="X11" s="23" t="s">
        <v>38</v>
      </c>
      <c r="Y11" s="23" t="s">
        <v>38</v>
      </c>
      <c r="Z11" s="23" t="s">
        <v>38</v>
      </c>
      <c r="AA11" s="23" t="s">
        <v>38</v>
      </c>
      <c r="AB11" s="23" t="s">
        <v>38</v>
      </c>
      <c r="AC11" s="23" t="s">
        <v>38</v>
      </c>
      <c r="AD11" s="23" t="s">
        <v>38</v>
      </c>
      <c r="AE11" s="23" t="s">
        <v>38</v>
      </c>
      <c r="AF11" s="23" t="s">
        <v>38</v>
      </c>
      <c r="AG11" s="23" t="s">
        <v>38</v>
      </c>
      <c r="AH11" s="23" t="s">
        <v>38</v>
      </c>
      <c r="AI11" s="23" t="s">
        <v>38</v>
      </c>
      <c r="AJ11" s="24">
        <f t="shared" si="4"/>
        <v>6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6</v>
      </c>
      <c r="AN11" s="70"/>
      <c r="AO11" s="68"/>
    </row>
    <row r="12" ht="19.5" customHeight="1">
      <c r="A12" s="20" t="str">
        <f t="shared" si="3"/>
        <v>AdityaWaiterService</v>
      </c>
      <c r="B12" s="21" t="s">
        <v>66</v>
      </c>
      <c r="C12" s="20" t="s">
        <v>22</v>
      </c>
      <c r="D12" s="20" t="s">
        <v>12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38</v>
      </c>
      <c r="J12" s="23" t="s">
        <v>38</v>
      </c>
      <c r="K12" s="23" t="s">
        <v>38</v>
      </c>
      <c r="L12" s="23" t="s">
        <v>38</v>
      </c>
      <c r="M12" s="23" t="s">
        <v>38</v>
      </c>
      <c r="N12" s="23" t="s">
        <v>38</v>
      </c>
      <c r="O12" s="23" t="s">
        <v>38</v>
      </c>
      <c r="P12" s="23" t="s">
        <v>38</v>
      </c>
      <c r="Q12" s="23" t="s">
        <v>38</v>
      </c>
      <c r="R12" s="23" t="s">
        <v>38</v>
      </c>
      <c r="S12" s="23" t="s">
        <v>38</v>
      </c>
      <c r="T12" s="23" t="s">
        <v>38</v>
      </c>
      <c r="U12" s="23" t="s">
        <v>38</v>
      </c>
      <c r="V12" s="23" t="s">
        <v>38</v>
      </c>
      <c r="W12" s="23" t="s">
        <v>38</v>
      </c>
      <c r="X12" s="23" t="s">
        <v>38</v>
      </c>
      <c r="Y12" s="23" t="s">
        <v>38</v>
      </c>
      <c r="Z12" s="23" t="s">
        <v>38</v>
      </c>
      <c r="AA12" s="23" t="s">
        <v>38</v>
      </c>
      <c r="AB12" s="23" t="s">
        <v>38</v>
      </c>
      <c r="AC12" s="23" t="s">
        <v>38</v>
      </c>
      <c r="AD12" s="23" t="s">
        <v>38</v>
      </c>
      <c r="AE12" s="23" t="s">
        <v>38</v>
      </c>
      <c r="AF12" s="23" t="s">
        <v>38</v>
      </c>
      <c r="AG12" s="23" t="s">
        <v>38</v>
      </c>
      <c r="AH12" s="23" t="s">
        <v>38</v>
      </c>
      <c r="AI12" s="23" t="s">
        <v>38</v>
      </c>
      <c r="AJ12" s="24">
        <f t="shared" si="4"/>
        <v>4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4</v>
      </c>
      <c r="AN12" s="70"/>
      <c r="AO12" s="68"/>
    </row>
    <row r="13" ht="19.5" customHeight="1">
      <c r="A13" s="20" t="str">
        <f t="shared" si="3"/>
        <v>ImranHelperIndian</v>
      </c>
      <c r="B13" s="21" t="s">
        <v>67</v>
      </c>
      <c r="C13" s="20" t="s">
        <v>15</v>
      </c>
      <c r="D13" s="20" t="s">
        <v>33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  <c r="K13" s="23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20</v>
      </c>
      <c r="R13" s="23" t="s">
        <v>13</v>
      </c>
      <c r="S13" s="23" t="s">
        <v>13</v>
      </c>
      <c r="T13" s="23" t="s">
        <v>13</v>
      </c>
      <c r="U13" s="23" t="s">
        <v>20</v>
      </c>
      <c r="V13" s="23" t="s">
        <v>20</v>
      </c>
      <c r="W13" s="23" t="s">
        <v>20</v>
      </c>
      <c r="X13" s="23" t="s">
        <v>13</v>
      </c>
      <c r="Y13" s="23" t="s">
        <v>20</v>
      </c>
      <c r="Z13" s="23" t="s">
        <v>20</v>
      </c>
      <c r="AA13" s="23" t="s">
        <v>20</v>
      </c>
      <c r="AB13" s="23" t="s">
        <v>20</v>
      </c>
      <c r="AC13" s="23" t="s">
        <v>20</v>
      </c>
      <c r="AD13" s="23" t="s">
        <v>13</v>
      </c>
      <c r="AE13" s="23" t="s">
        <v>13</v>
      </c>
      <c r="AF13" s="23" t="s">
        <v>20</v>
      </c>
      <c r="AG13" s="23" t="s">
        <v>13</v>
      </c>
      <c r="AH13" s="23" t="s">
        <v>20</v>
      </c>
      <c r="AI13" s="23" t="s">
        <v>20</v>
      </c>
      <c r="AJ13" s="24">
        <f t="shared" si="4"/>
        <v>19</v>
      </c>
      <c r="AK13" s="24">
        <f t="shared" si="5"/>
        <v>11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20</v>
      </c>
      <c r="AN13" s="70"/>
      <c r="AO13" s="68"/>
    </row>
    <row r="14" ht="19.5" customHeight="1">
      <c r="A14" s="20" t="str">
        <f t="shared" si="3"/>
        <v>SuhailWaiterService</v>
      </c>
      <c r="B14" s="21" t="s">
        <v>21</v>
      </c>
      <c r="C14" s="20" t="s">
        <v>22</v>
      </c>
      <c r="D14" s="20" t="s">
        <v>12</v>
      </c>
      <c r="E14" s="23" t="s">
        <v>13</v>
      </c>
      <c r="F14" s="23" t="s">
        <v>13</v>
      </c>
      <c r="G14" s="23" t="s">
        <v>13</v>
      </c>
      <c r="H14" s="23" t="s">
        <v>13</v>
      </c>
      <c r="I14" s="23" t="s">
        <v>13</v>
      </c>
      <c r="J14" s="23" t="s">
        <v>13</v>
      </c>
      <c r="K14" s="23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20</v>
      </c>
      <c r="R14" s="23" t="s">
        <v>13</v>
      </c>
      <c r="S14" s="23" t="s">
        <v>13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20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 t="s">
        <v>13</v>
      </c>
      <c r="AJ14" s="24">
        <f t="shared" si="4"/>
        <v>29</v>
      </c>
      <c r="AK14" s="24">
        <f t="shared" si="5"/>
        <v>2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31</v>
      </c>
      <c r="AN14" s="69"/>
      <c r="AO14" s="68"/>
    </row>
    <row r="15" ht="19.5" customHeight="1">
      <c r="A15" s="20" t="str">
        <f t="shared" si="3"/>
        <v>WakilHelperTandoor</v>
      </c>
      <c r="B15" s="21" t="s">
        <v>24</v>
      </c>
      <c r="C15" s="20" t="s">
        <v>15</v>
      </c>
      <c r="D15" s="20" t="s">
        <v>19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20</v>
      </c>
      <c r="AB15" s="23" t="s">
        <v>20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29</v>
      </c>
      <c r="AK15" s="24">
        <f t="shared" si="5"/>
        <v>2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31</v>
      </c>
      <c r="AN15" s="69"/>
      <c r="AO15" s="68"/>
    </row>
    <row r="16" ht="19.5" customHeight="1">
      <c r="A16" s="20" t="str">
        <f t="shared" si="3"/>
        <v>Saday VarisChefIndian</v>
      </c>
      <c r="B16" s="21" t="s">
        <v>68</v>
      </c>
      <c r="C16" s="20" t="s">
        <v>18</v>
      </c>
      <c r="D16" s="20" t="s">
        <v>33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13</v>
      </c>
      <c r="AJ16" s="24">
        <f t="shared" si="4"/>
        <v>31</v>
      </c>
      <c r="AK16" s="24">
        <f t="shared" si="5"/>
        <v>0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33</v>
      </c>
      <c r="AN16" s="69"/>
      <c r="AO16" s="68"/>
    </row>
    <row r="17" ht="19.5" customHeight="1">
      <c r="A17" s="20" t="str">
        <f t="shared" si="3"/>
        <v>HasimHelperMori</v>
      </c>
      <c r="B17" s="21" t="s">
        <v>69</v>
      </c>
      <c r="C17" s="20" t="s">
        <v>15</v>
      </c>
      <c r="D17" s="20" t="s">
        <v>16</v>
      </c>
      <c r="E17" s="23"/>
      <c r="F17" s="23"/>
      <c r="G17" s="23" t="s">
        <v>13</v>
      </c>
      <c r="H17" s="23" t="s">
        <v>13</v>
      </c>
      <c r="I17" s="23" t="s">
        <v>13</v>
      </c>
      <c r="J17" s="23" t="s">
        <v>13</v>
      </c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29</v>
      </c>
      <c r="AK17" s="24">
        <f t="shared" si="5"/>
        <v>0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31</v>
      </c>
      <c r="AN17" s="69"/>
      <c r="AO17" s="68"/>
    </row>
    <row r="18" ht="19.5" customHeight="1">
      <c r="A18" s="20" t="str">
        <f t="shared" si="3"/>
        <v>sameer serviceHelperService</v>
      </c>
      <c r="B18" s="21" t="s">
        <v>70</v>
      </c>
      <c r="C18" s="20" t="s">
        <v>15</v>
      </c>
      <c r="D18" s="20" t="s">
        <v>12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 t="s">
        <v>38</v>
      </c>
      <c r="T18" s="23" t="s">
        <v>38</v>
      </c>
      <c r="U18" s="23" t="s">
        <v>38</v>
      </c>
      <c r="V18" s="23" t="s">
        <v>38</v>
      </c>
      <c r="W18" s="23" t="s">
        <v>38</v>
      </c>
      <c r="X18" s="23" t="s">
        <v>38</v>
      </c>
      <c r="Y18" s="23" t="s">
        <v>38</v>
      </c>
      <c r="Z18" s="23" t="s">
        <v>38</v>
      </c>
      <c r="AA18" s="23" t="s">
        <v>38</v>
      </c>
      <c r="AB18" s="23" t="s">
        <v>38</v>
      </c>
      <c r="AC18" s="23" t="s">
        <v>38</v>
      </c>
      <c r="AD18" s="23" t="s">
        <v>38</v>
      </c>
      <c r="AE18" s="23" t="s">
        <v>38</v>
      </c>
      <c r="AF18" s="23" t="s">
        <v>38</v>
      </c>
      <c r="AG18" s="23" t="s">
        <v>38</v>
      </c>
      <c r="AH18" s="23" t="s">
        <v>38</v>
      </c>
      <c r="AI18" s="23" t="s">
        <v>38</v>
      </c>
      <c r="AJ18" s="24">
        <f t="shared" si="4"/>
        <v>0</v>
      </c>
      <c r="AK18" s="24">
        <f t="shared" si="5"/>
        <v>0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0</v>
      </c>
      <c r="AN18" s="69"/>
      <c r="AO18" s="68"/>
    </row>
    <row r="19" ht="19.5" customHeight="1">
      <c r="A19" s="20" t="str">
        <f t="shared" si="3"/>
        <v>Sajid NooriHead ChefIndian</v>
      </c>
      <c r="B19" s="21" t="s">
        <v>71</v>
      </c>
      <c r="C19" s="20" t="s">
        <v>72</v>
      </c>
      <c r="D19" s="20" t="s">
        <v>33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4"/>
        <v>12</v>
      </c>
      <c r="AK19" s="24">
        <f t="shared" si="5"/>
        <v>0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12</v>
      </c>
      <c r="AN19" s="69"/>
      <c r="AO19" s="68"/>
    </row>
    <row r="20" ht="19.5" customHeight="1">
      <c r="A20" s="20" t="str">
        <f t="shared" si="3"/>
        <v>NaseemSupervisorSupervisor</v>
      </c>
      <c r="B20" s="21" t="s">
        <v>26</v>
      </c>
      <c r="C20" s="20" t="s">
        <v>27</v>
      </c>
      <c r="D20" s="20" t="s">
        <v>27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 t="s">
        <v>13</v>
      </c>
      <c r="W20" s="23" t="s">
        <v>13</v>
      </c>
      <c r="X20" s="23" t="s">
        <v>13</v>
      </c>
      <c r="Y20" s="23" t="s">
        <v>13</v>
      </c>
      <c r="Z20" s="23" t="s">
        <v>13</v>
      </c>
      <c r="AA20" s="23" t="s">
        <v>13</v>
      </c>
      <c r="AB20" s="23" t="s">
        <v>13</v>
      </c>
      <c r="AC20" s="23" t="s">
        <v>13</v>
      </c>
      <c r="AD20" s="23" t="s">
        <v>13</v>
      </c>
      <c r="AE20" s="23" t="s">
        <v>13</v>
      </c>
      <c r="AF20" s="23" t="s">
        <v>13</v>
      </c>
      <c r="AG20" s="23" t="s">
        <v>13</v>
      </c>
      <c r="AH20" s="23" t="s">
        <v>13</v>
      </c>
      <c r="AI20" s="23" t="s">
        <v>13</v>
      </c>
      <c r="AJ20" s="24">
        <f t="shared" si="4"/>
        <v>14</v>
      </c>
      <c r="AK20" s="24">
        <f t="shared" si="5"/>
        <v>0</v>
      </c>
      <c r="AL20" s="24">
        <f t="shared" si="6"/>
        <v>0</v>
      </c>
      <c r="AM20" s="68">
        <f>IFERROR(
  (AJ20 + AL20 * 0.5) + 
  IF(DAY(EOMONTH(E$2, 0)) = 28, VLOOKUP((AJ20 + AL20 * 0.5), Lookup!G:H, 2, FALSE),
    IF(DAY(EOMONTH(E$2, 0)) = 29, VLOOKUP((AJ20 + AL20 * 0.5), Lookup!E:F, 2, FALSE),
      IF(DAY(EOMONTH(E$2, 0)) = 30, VLOOKUP((AJ20 + AL20 * 0.5), Lookup!C:D, 2, FALSE),
        IF(DAY(EOMONTH(E$2, 0)) = 31, VLOOKUP((AJ20 + AL20 * 0.5), Lookup!A:B, 2, FALSE),
          0
        )
      )
    )
  ),
0)
</f>
        <v>15</v>
      </c>
      <c r="AN20" s="69"/>
      <c r="AO20" s="68"/>
    </row>
    <row r="21" ht="19.5" customHeight="1">
      <c r="A21" s="20" t="str">
        <f t="shared" si="3"/>
        <v>Mustafa RazaChefTandoor</v>
      </c>
      <c r="B21" s="97" t="s">
        <v>73</v>
      </c>
      <c r="C21" s="98" t="s">
        <v>18</v>
      </c>
      <c r="D21" s="98" t="s">
        <v>19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 t="s">
        <v>20</v>
      </c>
      <c r="Y21" s="30" t="s">
        <v>13</v>
      </c>
      <c r="Z21" s="30" t="s">
        <v>13</v>
      </c>
      <c r="AA21" s="30" t="s">
        <v>13</v>
      </c>
      <c r="AB21" s="30" t="s">
        <v>13</v>
      </c>
      <c r="AC21" s="30" t="s">
        <v>13</v>
      </c>
      <c r="AD21" s="30" t="s">
        <v>13</v>
      </c>
      <c r="AE21" s="30" t="s">
        <v>13</v>
      </c>
      <c r="AF21" s="30" t="s">
        <v>13</v>
      </c>
      <c r="AG21" s="30" t="s">
        <v>13</v>
      </c>
      <c r="AH21" s="30" t="s">
        <v>13</v>
      </c>
      <c r="AI21" s="30" t="s">
        <v>13</v>
      </c>
      <c r="AJ21" s="24">
        <f t="shared" si="4"/>
        <v>11</v>
      </c>
      <c r="AK21" s="24">
        <f t="shared" si="5"/>
        <v>1</v>
      </c>
      <c r="AL21" s="24">
        <f t="shared" si="6"/>
        <v>0</v>
      </c>
      <c r="AM21" s="68">
        <f>IFERROR(
  (AJ21 + AL21 * 0.5) + 
  IF(DAY(EOMONTH(E$2, 0)) = 28, VLOOKUP((AJ21 + AL21 * 0.5), Lookup!G:H, 2, FALSE),
    IF(DAY(EOMONTH(E$2, 0)) = 29, VLOOKUP((AJ21 + AL21 * 0.5), Lookup!E:F, 2, FALSE),
      IF(DAY(EOMONTH(E$2, 0)) = 30, VLOOKUP((AJ21 + AL21 * 0.5), Lookup!C:D, 2, FALSE),
        IF(DAY(EOMONTH(E$2, 0)) = 31, VLOOKUP((AJ21 + AL21 * 0.5), Lookup!A:B, 2, FALSE),
          0
        )
      )
    )
  ),
0)
</f>
        <v>11</v>
      </c>
      <c r="AN21" s="75"/>
      <c r="AO21" s="74"/>
    </row>
    <row r="22" ht="19.5" customHeight="1">
      <c r="A22" s="26"/>
      <c r="AN22" s="76"/>
      <c r="AO22" s="77"/>
    </row>
    <row r="23" ht="19.5" customHeight="1">
      <c r="A23" s="26"/>
      <c r="AN23" s="76"/>
      <c r="AO23" s="77"/>
      <c r="AP23" s="76"/>
    </row>
    <row r="24" ht="19.5" hidden="1" customHeight="1">
      <c r="A24" s="28"/>
      <c r="AP24" s="76"/>
    </row>
  </sheetData>
  <mergeCells count="1">
    <mergeCell ref="E1:U1"/>
  </mergeCells>
  <dataValidations>
    <dataValidation type="list" allowBlank="1" showErrorMessage="1" sqref="E4:AI21">
      <formula1>"Present,Off,Half Day,Left"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5" width="6.13"/>
    <col customWidth="1" min="36" max="36" width="9.75"/>
    <col customWidth="1" min="37" max="37" width="7.63"/>
    <col customWidth="1" min="38" max="38" width="9.38"/>
    <col customWidth="1" min="39" max="39" width="8.63"/>
    <col customWidth="1" min="40" max="41" width="9.38"/>
    <col customWidth="1" min="42" max="42" width="11.5"/>
  </cols>
  <sheetData>
    <row r="1" ht="3.0" customHeight="1">
      <c r="A1" s="5"/>
      <c r="B1" s="5" t="s">
        <v>59</v>
      </c>
      <c r="C1" s="5"/>
      <c r="D1" s="6">
        <f>day(EOMONTH(T2,0))</f>
        <v>30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45901.0</v>
      </c>
      <c r="F2" s="12">
        <f t="shared" ref="F2:AI2" si="1">IF(MONTH(E2+1)=MONTH(EOMONTH($E$2,0)),E2+1,"")</f>
        <v>45902</v>
      </c>
      <c r="G2" s="12">
        <f t="shared" si="1"/>
        <v>45903</v>
      </c>
      <c r="H2" s="12">
        <f t="shared" si="1"/>
        <v>45904</v>
      </c>
      <c r="I2" s="12">
        <f t="shared" si="1"/>
        <v>45905</v>
      </c>
      <c r="J2" s="12">
        <f t="shared" si="1"/>
        <v>45906</v>
      </c>
      <c r="K2" s="12">
        <f t="shared" si="1"/>
        <v>45907</v>
      </c>
      <c r="L2" s="12">
        <f t="shared" si="1"/>
        <v>45908</v>
      </c>
      <c r="M2" s="12">
        <f t="shared" si="1"/>
        <v>45909</v>
      </c>
      <c r="N2" s="12">
        <f t="shared" si="1"/>
        <v>45910</v>
      </c>
      <c r="O2" s="12">
        <f t="shared" si="1"/>
        <v>45911</v>
      </c>
      <c r="P2" s="12">
        <f t="shared" si="1"/>
        <v>45912</v>
      </c>
      <c r="Q2" s="12">
        <f t="shared" si="1"/>
        <v>45913</v>
      </c>
      <c r="R2" s="12">
        <f t="shared" si="1"/>
        <v>45914</v>
      </c>
      <c r="S2" s="12">
        <f t="shared" si="1"/>
        <v>45915</v>
      </c>
      <c r="T2" s="12">
        <f t="shared" si="1"/>
        <v>45916</v>
      </c>
      <c r="U2" s="12">
        <f t="shared" si="1"/>
        <v>45917</v>
      </c>
      <c r="V2" s="12">
        <f t="shared" si="1"/>
        <v>45918</v>
      </c>
      <c r="W2" s="12">
        <f t="shared" si="1"/>
        <v>45919</v>
      </c>
      <c r="X2" s="12">
        <f t="shared" si="1"/>
        <v>45920</v>
      </c>
      <c r="Y2" s="12">
        <f t="shared" si="1"/>
        <v>45921</v>
      </c>
      <c r="Z2" s="12">
        <f t="shared" si="1"/>
        <v>45922</v>
      </c>
      <c r="AA2" s="12">
        <f t="shared" si="1"/>
        <v>45923</v>
      </c>
      <c r="AB2" s="12">
        <f t="shared" si="1"/>
        <v>45924</v>
      </c>
      <c r="AC2" s="12">
        <f t="shared" si="1"/>
        <v>45925</v>
      </c>
      <c r="AD2" s="12">
        <f t="shared" si="1"/>
        <v>45926</v>
      </c>
      <c r="AE2" s="12">
        <f t="shared" si="1"/>
        <v>45927</v>
      </c>
      <c r="AF2" s="12">
        <f t="shared" si="1"/>
        <v>45928</v>
      </c>
      <c r="AG2" s="12">
        <f t="shared" si="1"/>
        <v>45929</v>
      </c>
      <c r="AH2" s="12">
        <f t="shared" si="1"/>
        <v>45930</v>
      </c>
      <c r="AI2" s="12" t="str">
        <f t="shared" si="1"/>
        <v/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45901</v>
      </c>
      <c r="F3" s="17">
        <f t="shared" si="2"/>
        <v>45902</v>
      </c>
      <c r="G3" s="17">
        <f t="shared" si="2"/>
        <v>45903</v>
      </c>
      <c r="H3" s="17">
        <f t="shared" si="2"/>
        <v>45904</v>
      </c>
      <c r="I3" s="17">
        <f t="shared" si="2"/>
        <v>45905</v>
      </c>
      <c r="J3" s="17">
        <f t="shared" si="2"/>
        <v>45906</v>
      </c>
      <c r="K3" s="17">
        <f t="shared" si="2"/>
        <v>45907</v>
      </c>
      <c r="L3" s="17">
        <f t="shared" si="2"/>
        <v>45908</v>
      </c>
      <c r="M3" s="17">
        <f t="shared" si="2"/>
        <v>45909</v>
      </c>
      <c r="N3" s="17">
        <f t="shared" si="2"/>
        <v>45910</v>
      </c>
      <c r="O3" s="17">
        <f t="shared" si="2"/>
        <v>45911</v>
      </c>
      <c r="P3" s="17">
        <f t="shared" si="2"/>
        <v>45912</v>
      </c>
      <c r="Q3" s="17">
        <f t="shared" si="2"/>
        <v>45913</v>
      </c>
      <c r="R3" s="17">
        <f t="shared" si="2"/>
        <v>45914</v>
      </c>
      <c r="S3" s="17">
        <f t="shared" si="2"/>
        <v>45915</v>
      </c>
      <c r="T3" s="17">
        <f t="shared" si="2"/>
        <v>45916</v>
      </c>
      <c r="U3" s="17">
        <f t="shared" si="2"/>
        <v>45917</v>
      </c>
      <c r="V3" s="17">
        <f t="shared" si="2"/>
        <v>45918</v>
      </c>
      <c r="W3" s="17">
        <f t="shared" si="2"/>
        <v>45919</v>
      </c>
      <c r="X3" s="17">
        <f t="shared" si="2"/>
        <v>45920</v>
      </c>
      <c r="Y3" s="17">
        <f t="shared" si="2"/>
        <v>45921</v>
      </c>
      <c r="Z3" s="17">
        <f t="shared" si="2"/>
        <v>45922</v>
      </c>
      <c r="AA3" s="17">
        <f t="shared" si="2"/>
        <v>45923</v>
      </c>
      <c r="AB3" s="17">
        <f t="shared" si="2"/>
        <v>45924</v>
      </c>
      <c r="AC3" s="17">
        <f t="shared" si="2"/>
        <v>45925</v>
      </c>
      <c r="AD3" s="17">
        <f t="shared" si="2"/>
        <v>45926</v>
      </c>
      <c r="AE3" s="17">
        <f t="shared" si="2"/>
        <v>45927</v>
      </c>
      <c r="AF3" s="17">
        <f t="shared" si="2"/>
        <v>45928</v>
      </c>
      <c r="AG3" s="17">
        <f t="shared" si="2"/>
        <v>45929</v>
      </c>
      <c r="AH3" s="17">
        <f t="shared" si="2"/>
        <v>45930</v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8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/>
      <c r="AJ4" s="24">
        <f t="shared" ref="AJ4:AJ18" si="4">if(countif($E4:$AH4,AJ$3)&gt;day(EOMONTH($T$2,0)),"Error",countif($E4:$AH4,AJ$3))</f>
        <v>30</v>
      </c>
      <c r="AK4" s="24">
        <f t="shared" ref="AK4:AK18" si="5">countif($E4:$AH4,AK$3)+(sum(AL4)/2)</f>
        <v>0</v>
      </c>
      <c r="AL4" s="24">
        <f t="shared" ref="AL4:AL18" si="6">countif($E4:$AH4,AL$3)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32</v>
      </c>
      <c r="AN4" s="70">
        <v>1500.0</v>
      </c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/>
      <c r="AJ5" s="24">
        <f t="shared" si="4"/>
        <v>30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32</v>
      </c>
      <c r="AN5" s="70"/>
      <c r="AO5" s="71"/>
    </row>
    <row r="6" ht="19.5" customHeight="1">
      <c r="A6" s="20" t="str">
        <f t="shared" si="3"/>
        <v>Mustafa RazaCombiTandoor</v>
      </c>
      <c r="B6" s="21" t="s">
        <v>73</v>
      </c>
      <c r="C6" s="22" t="s">
        <v>29</v>
      </c>
      <c r="D6" s="22" t="s">
        <v>19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67" t="s">
        <v>13</v>
      </c>
      <c r="R6" s="23" t="s">
        <v>13</v>
      </c>
      <c r="S6" s="23" t="s">
        <v>13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3"/>
      <c r="AJ6" s="24">
        <f t="shared" si="4"/>
        <v>30</v>
      </c>
      <c r="AK6" s="24">
        <f t="shared" si="5"/>
        <v>0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32</v>
      </c>
      <c r="AN6" s="70"/>
      <c r="AO6" s="87"/>
    </row>
    <row r="7" ht="19.5" customHeight="1">
      <c r="A7" s="20" t="str">
        <f t="shared" si="3"/>
        <v>IrfanChefChinese</v>
      </c>
      <c r="B7" s="21" t="s">
        <v>44</v>
      </c>
      <c r="C7" s="22" t="s">
        <v>18</v>
      </c>
      <c r="D7" s="22" t="s">
        <v>40</v>
      </c>
      <c r="E7" s="67" t="s">
        <v>13</v>
      </c>
      <c r="F7" s="67" t="s">
        <v>34</v>
      </c>
      <c r="G7" s="67" t="s">
        <v>13</v>
      </c>
      <c r="H7" s="67" t="s">
        <v>13</v>
      </c>
      <c r="I7" s="67" t="s">
        <v>13</v>
      </c>
      <c r="J7" s="67" t="s">
        <v>13</v>
      </c>
      <c r="K7" s="67" t="s">
        <v>13</v>
      </c>
      <c r="L7" s="23" t="s">
        <v>13</v>
      </c>
      <c r="M7" s="23" t="s">
        <v>13</v>
      </c>
      <c r="N7" s="23" t="s">
        <v>13</v>
      </c>
      <c r="O7" s="23" t="s">
        <v>34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34" t="s">
        <v>13</v>
      </c>
      <c r="X7" s="23" t="s">
        <v>13</v>
      </c>
      <c r="Y7" s="23" t="s">
        <v>13</v>
      </c>
      <c r="Z7" s="23" t="s">
        <v>13</v>
      </c>
      <c r="AA7" s="67" t="s">
        <v>34</v>
      </c>
      <c r="AB7" s="67" t="s">
        <v>13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34</v>
      </c>
      <c r="AI7" s="23"/>
      <c r="AJ7" s="24">
        <f t="shared" si="4"/>
        <v>26</v>
      </c>
      <c r="AK7" s="24">
        <f t="shared" si="5"/>
        <v>2</v>
      </c>
      <c r="AL7" s="24">
        <f t="shared" si="6"/>
        <v>4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30</v>
      </c>
      <c r="AN7" s="69"/>
      <c r="AO7" s="71"/>
    </row>
    <row r="8" ht="19.5" customHeight="1">
      <c r="A8" s="20" t="str">
        <f t="shared" si="3"/>
        <v>WakilHelperTandoor</v>
      </c>
      <c r="B8" s="21" t="s">
        <v>24</v>
      </c>
      <c r="C8" s="20" t="s">
        <v>15</v>
      </c>
      <c r="D8" s="20" t="s">
        <v>19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23" t="s">
        <v>20</v>
      </c>
      <c r="L8" s="23" t="s">
        <v>13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34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34</v>
      </c>
      <c r="AH8" s="23" t="s">
        <v>13</v>
      </c>
      <c r="AI8" s="23"/>
      <c r="AJ8" s="24">
        <f t="shared" si="4"/>
        <v>27</v>
      </c>
      <c r="AK8" s="24">
        <f t="shared" si="5"/>
        <v>2</v>
      </c>
      <c r="AL8" s="24">
        <f t="shared" si="6"/>
        <v>2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30</v>
      </c>
      <c r="AN8" s="70"/>
      <c r="AO8" s="68"/>
    </row>
    <row r="9" ht="19.5" customHeight="1">
      <c r="A9" s="20" t="str">
        <f t="shared" si="3"/>
        <v>SuhailWaiterService</v>
      </c>
      <c r="B9" s="21" t="s">
        <v>21</v>
      </c>
      <c r="C9" s="20" t="s">
        <v>22</v>
      </c>
      <c r="D9" s="20" t="s">
        <v>12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23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20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20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/>
      <c r="AJ9" s="24">
        <f t="shared" si="4"/>
        <v>28</v>
      </c>
      <c r="AK9" s="24">
        <f t="shared" si="5"/>
        <v>2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30</v>
      </c>
      <c r="AN9" s="69"/>
      <c r="AO9" s="68"/>
    </row>
    <row r="10" ht="19.5" customHeight="1">
      <c r="A10" s="20" t="str">
        <f t="shared" si="3"/>
        <v>Saday VarisChefIndian</v>
      </c>
      <c r="B10" s="21" t="s">
        <v>68</v>
      </c>
      <c r="C10" s="20" t="s">
        <v>18</v>
      </c>
      <c r="D10" s="20" t="s">
        <v>33</v>
      </c>
      <c r="E10" s="23" t="s">
        <v>13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13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23" t="s">
        <v>38</v>
      </c>
      <c r="AB10" s="23" t="s">
        <v>38</v>
      </c>
      <c r="AC10" s="23" t="s">
        <v>38</v>
      </c>
      <c r="AD10" s="23" t="s">
        <v>38</v>
      </c>
      <c r="AE10" s="23" t="s">
        <v>38</v>
      </c>
      <c r="AF10" s="23" t="s">
        <v>38</v>
      </c>
      <c r="AG10" s="23" t="s">
        <v>38</v>
      </c>
      <c r="AH10" s="23" t="s">
        <v>38</v>
      </c>
      <c r="AI10" s="23"/>
      <c r="AJ10" s="24">
        <f t="shared" si="4"/>
        <v>22</v>
      </c>
      <c r="AK10" s="24">
        <f t="shared" si="5"/>
        <v>0</v>
      </c>
      <c r="AL10" s="24">
        <f t="shared" si="6"/>
        <v>0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23</v>
      </c>
      <c r="AN10" s="69"/>
      <c r="AO10" s="68"/>
    </row>
    <row r="11" ht="19.5" customHeight="1">
      <c r="A11" s="20" t="str">
        <f t="shared" si="3"/>
        <v>HasimHelperMori</v>
      </c>
      <c r="B11" s="21" t="s">
        <v>69</v>
      </c>
      <c r="C11" s="20" t="s">
        <v>15</v>
      </c>
      <c r="D11" s="20" t="s">
        <v>16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/>
      <c r="AJ11" s="24">
        <f t="shared" si="4"/>
        <v>30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32</v>
      </c>
      <c r="AN11" s="69"/>
      <c r="AO11" s="68"/>
    </row>
    <row r="12" ht="19.5" customHeight="1">
      <c r="A12" s="20" t="str">
        <f t="shared" si="3"/>
        <v>Sajid NooriHead ChefIndian</v>
      </c>
      <c r="B12" s="21" t="s">
        <v>71</v>
      </c>
      <c r="C12" s="20" t="s">
        <v>72</v>
      </c>
      <c r="D12" s="20" t="s">
        <v>33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23" t="s">
        <v>13</v>
      </c>
      <c r="Q12" s="23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/>
      <c r="AJ12" s="24">
        <f t="shared" si="4"/>
        <v>30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32</v>
      </c>
      <c r="AN12" s="70">
        <v>1000.0</v>
      </c>
      <c r="AO12" s="68"/>
    </row>
    <row r="13" ht="19.5" hidden="1" customHeight="1">
      <c r="A13" s="20" t="str">
        <f t="shared" si="3"/>
        <v/>
      </c>
      <c r="E13" s="23"/>
      <c r="F13" s="23"/>
      <c r="G13" s="23"/>
      <c r="H13" s="23"/>
      <c r="I13" s="23"/>
      <c r="J13" s="23"/>
      <c r="K13" s="23"/>
      <c r="L13" s="23"/>
      <c r="M13" s="23" t="s">
        <v>13</v>
      </c>
      <c r="N13" s="23" t="s">
        <v>13</v>
      </c>
      <c r="O13" s="23" t="s">
        <v>13</v>
      </c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4">
        <f t="shared" si="4"/>
        <v>3</v>
      </c>
      <c r="AK13" s="24">
        <f t="shared" si="5"/>
        <v>0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3</v>
      </c>
      <c r="AN13" s="69"/>
      <c r="AO13" s="68"/>
      <c r="AP13" s="76"/>
    </row>
    <row r="14" ht="19.5" customHeight="1">
      <c r="A14" s="20" t="str">
        <f t="shared" si="3"/>
        <v>NaseemSupervisorSupervisor</v>
      </c>
      <c r="B14" s="81" t="s">
        <v>26</v>
      </c>
      <c r="C14" s="99" t="s">
        <v>27</v>
      </c>
      <c r="D14" s="99" t="s">
        <v>27</v>
      </c>
      <c r="E14" s="23" t="s">
        <v>13</v>
      </c>
      <c r="F14" s="23" t="s">
        <v>13</v>
      </c>
      <c r="G14" s="23" t="s">
        <v>13</v>
      </c>
      <c r="H14" s="23" t="s">
        <v>13</v>
      </c>
      <c r="I14" s="23" t="s">
        <v>13</v>
      </c>
      <c r="J14" s="23" t="s">
        <v>13</v>
      </c>
      <c r="K14" s="23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13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/>
      <c r="AJ14" s="24">
        <f t="shared" si="4"/>
        <v>30</v>
      </c>
      <c r="AK14" s="24">
        <f t="shared" si="5"/>
        <v>0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32</v>
      </c>
      <c r="AN14" s="70">
        <v>5600.0</v>
      </c>
      <c r="AO14" s="68"/>
    </row>
    <row r="15" ht="19.5" customHeight="1">
      <c r="A15" s="20" t="str">
        <f t="shared" si="3"/>
        <v>SameerBillerService</v>
      </c>
      <c r="B15" s="81" t="s">
        <v>23</v>
      </c>
      <c r="C15" s="81" t="s">
        <v>42</v>
      </c>
      <c r="D15" s="81" t="s">
        <v>12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/>
      <c r="AJ15" s="24">
        <f t="shared" si="4"/>
        <v>15</v>
      </c>
      <c r="AK15" s="24">
        <f t="shared" si="5"/>
        <v>0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16</v>
      </c>
      <c r="AN15" s="70">
        <v>3000.0</v>
      </c>
      <c r="AO15" s="68"/>
    </row>
    <row r="16" ht="19.5" customHeight="1">
      <c r="A16" s="20" t="str">
        <f t="shared" si="3"/>
        <v>RajuWaiterService</v>
      </c>
      <c r="B16" s="81" t="s">
        <v>74</v>
      </c>
      <c r="C16" s="81" t="s">
        <v>22</v>
      </c>
      <c r="D16" s="81" t="s">
        <v>12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/>
      <c r="AJ16" s="24">
        <f t="shared" si="4"/>
        <v>14</v>
      </c>
      <c r="AK16" s="24">
        <f t="shared" si="5"/>
        <v>0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15</v>
      </c>
      <c r="AN16" s="70">
        <v>1000.0</v>
      </c>
      <c r="AO16" s="68"/>
    </row>
    <row r="17" ht="19.5" customHeight="1">
      <c r="A17" s="20" t="str">
        <f t="shared" si="3"/>
        <v>AasifChefIndian</v>
      </c>
      <c r="B17" s="81" t="s">
        <v>32</v>
      </c>
      <c r="C17" s="81" t="s">
        <v>18</v>
      </c>
      <c r="D17" s="81" t="s">
        <v>33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/>
      <c r="AJ17" s="24">
        <f t="shared" si="4"/>
        <v>8</v>
      </c>
      <c r="AK17" s="24">
        <f t="shared" si="5"/>
        <v>0</v>
      </c>
      <c r="AL17" s="24">
        <f t="shared" si="6"/>
        <v>0</v>
      </c>
      <c r="AM17" s="68"/>
      <c r="AN17" s="69"/>
      <c r="AO17" s="68"/>
    </row>
    <row r="18" ht="19.5" customHeight="1">
      <c r="A18" s="20" t="str">
        <f t="shared" si="3"/>
        <v>AyazHelperTandoor</v>
      </c>
      <c r="B18" s="81" t="s">
        <v>75</v>
      </c>
      <c r="C18" s="81" t="s">
        <v>15</v>
      </c>
      <c r="D18" s="81" t="s">
        <v>19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 t="s">
        <v>34</v>
      </c>
      <c r="AH18" s="23" t="s">
        <v>13</v>
      </c>
      <c r="AI18" s="23"/>
      <c r="AJ18" s="24">
        <f t="shared" si="4"/>
        <v>1</v>
      </c>
      <c r="AK18" s="24">
        <f t="shared" si="5"/>
        <v>0.5</v>
      </c>
      <c r="AL18" s="24">
        <f t="shared" si="6"/>
        <v>1</v>
      </c>
      <c r="AM18" s="68"/>
      <c r="AN18" s="69"/>
      <c r="AO18" s="68"/>
    </row>
    <row r="19" ht="19.5" customHeight="1">
      <c r="A19" s="28"/>
    </row>
    <row r="20" ht="19.5" customHeight="1">
      <c r="A20" s="28"/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  <row r="1006" ht="19.5" customHeight="1">
      <c r="A1006" s="28"/>
    </row>
    <row r="1007" ht="19.5" customHeight="1">
      <c r="A1007" s="28"/>
    </row>
    <row r="1008" ht="19.5" customHeight="1">
      <c r="A1008" s="28"/>
    </row>
    <row r="1009" ht="19.5" customHeight="1">
      <c r="A1009" s="28"/>
    </row>
    <row r="1010" ht="19.5" customHeight="1">
      <c r="A1010" s="28"/>
    </row>
    <row r="1011" ht="19.5" customHeight="1">
      <c r="A1011" s="28"/>
    </row>
    <row r="1012" ht="19.5" customHeight="1">
      <c r="A1012" s="28"/>
    </row>
  </sheetData>
  <mergeCells count="1">
    <mergeCell ref="E1:U1"/>
  </mergeCells>
  <dataValidations>
    <dataValidation type="list" allowBlank="1" showErrorMessage="1" sqref="C14">
      <formula1>#REF!</formula1>
    </dataValidation>
    <dataValidation type="list" allowBlank="1" showErrorMessage="1" sqref="E4:AI18">
      <formula1>"Present,Off,Half Day,Left"</formula1>
    </dataValidation>
    <dataValidation type="list" allowBlank="1" showErrorMessage="1" sqref="D14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 t="s">
        <v>76</v>
      </c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45931.0</v>
      </c>
      <c r="F2" s="12">
        <f t="shared" ref="F2:AI2" si="1">IF(MONTH(E2+1)=MONTH(EOMONTH($E$2,0)),E2+1,"")</f>
        <v>45932</v>
      </c>
      <c r="G2" s="12">
        <f t="shared" si="1"/>
        <v>45933</v>
      </c>
      <c r="H2" s="12">
        <f t="shared" si="1"/>
        <v>45934</v>
      </c>
      <c r="I2" s="12">
        <f t="shared" si="1"/>
        <v>45935</v>
      </c>
      <c r="J2" s="12">
        <f t="shared" si="1"/>
        <v>45936</v>
      </c>
      <c r="K2" s="12">
        <f t="shared" si="1"/>
        <v>45937</v>
      </c>
      <c r="L2" s="12">
        <f t="shared" si="1"/>
        <v>45938</v>
      </c>
      <c r="M2" s="12">
        <f t="shared" si="1"/>
        <v>45939</v>
      </c>
      <c r="N2" s="12">
        <f t="shared" si="1"/>
        <v>45940</v>
      </c>
      <c r="O2" s="12">
        <f t="shared" si="1"/>
        <v>45941</v>
      </c>
      <c r="P2" s="12">
        <f t="shared" si="1"/>
        <v>45942</v>
      </c>
      <c r="Q2" s="12">
        <f t="shared" si="1"/>
        <v>45943</v>
      </c>
      <c r="R2" s="12">
        <f t="shared" si="1"/>
        <v>45944</v>
      </c>
      <c r="S2" s="12">
        <f t="shared" si="1"/>
        <v>45945</v>
      </c>
      <c r="T2" s="12">
        <f t="shared" si="1"/>
        <v>45946</v>
      </c>
      <c r="U2" s="12">
        <f t="shared" si="1"/>
        <v>45947</v>
      </c>
      <c r="V2" s="12">
        <f t="shared" si="1"/>
        <v>45948</v>
      </c>
      <c r="W2" s="12">
        <f t="shared" si="1"/>
        <v>45949</v>
      </c>
      <c r="X2" s="12">
        <f t="shared" si="1"/>
        <v>45950</v>
      </c>
      <c r="Y2" s="12">
        <f t="shared" si="1"/>
        <v>45951</v>
      </c>
      <c r="Z2" s="12">
        <f t="shared" si="1"/>
        <v>45952</v>
      </c>
      <c r="AA2" s="12">
        <f t="shared" si="1"/>
        <v>45953</v>
      </c>
      <c r="AB2" s="12">
        <f t="shared" si="1"/>
        <v>45954</v>
      </c>
      <c r="AC2" s="12">
        <f t="shared" si="1"/>
        <v>45955</v>
      </c>
      <c r="AD2" s="12">
        <f t="shared" si="1"/>
        <v>45956</v>
      </c>
      <c r="AE2" s="12">
        <f t="shared" si="1"/>
        <v>45957</v>
      </c>
      <c r="AF2" s="12">
        <f t="shared" si="1"/>
        <v>45958</v>
      </c>
      <c r="AG2" s="12">
        <f t="shared" si="1"/>
        <v>45959</v>
      </c>
      <c r="AH2" s="12">
        <f t="shared" si="1"/>
        <v>45960</v>
      </c>
      <c r="AI2" s="12">
        <f t="shared" si="1"/>
        <v>45961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45931</v>
      </c>
      <c r="F3" s="17">
        <f t="shared" si="2"/>
        <v>45932</v>
      </c>
      <c r="G3" s="17">
        <f t="shared" si="2"/>
        <v>45933</v>
      </c>
      <c r="H3" s="17">
        <f t="shared" si="2"/>
        <v>45934</v>
      </c>
      <c r="I3" s="17">
        <f t="shared" si="2"/>
        <v>45935</v>
      </c>
      <c r="J3" s="17">
        <f t="shared" si="2"/>
        <v>45936</v>
      </c>
      <c r="K3" s="17">
        <f t="shared" si="2"/>
        <v>45937</v>
      </c>
      <c r="L3" s="17">
        <f t="shared" si="2"/>
        <v>45938</v>
      </c>
      <c r="M3" s="17">
        <f t="shared" si="2"/>
        <v>45939</v>
      </c>
      <c r="N3" s="17">
        <f t="shared" si="2"/>
        <v>45940</v>
      </c>
      <c r="O3" s="17">
        <f t="shared" si="2"/>
        <v>45941</v>
      </c>
      <c r="P3" s="17">
        <f t="shared" si="2"/>
        <v>45942</v>
      </c>
      <c r="Q3" s="17">
        <f t="shared" si="2"/>
        <v>45943</v>
      </c>
      <c r="R3" s="17">
        <f t="shared" si="2"/>
        <v>45944</v>
      </c>
      <c r="S3" s="17">
        <f t="shared" si="2"/>
        <v>45945</v>
      </c>
      <c r="T3" s="17">
        <f t="shared" si="2"/>
        <v>45946</v>
      </c>
      <c r="U3" s="17">
        <f t="shared" si="2"/>
        <v>45947</v>
      </c>
      <c r="V3" s="17">
        <f t="shared" si="2"/>
        <v>45948</v>
      </c>
      <c r="W3" s="17">
        <f t="shared" si="2"/>
        <v>45949</v>
      </c>
      <c r="X3" s="17">
        <f t="shared" si="2"/>
        <v>45950</v>
      </c>
      <c r="Y3" s="17">
        <f t="shared" si="2"/>
        <v>45951</v>
      </c>
      <c r="Z3" s="17">
        <f t="shared" si="2"/>
        <v>45952</v>
      </c>
      <c r="AA3" s="17">
        <f t="shared" si="2"/>
        <v>45953</v>
      </c>
      <c r="AB3" s="17">
        <f t="shared" si="2"/>
        <v>45954</v>
      </c>
      <c r="AC3" s="17">
        <f t="shared" si="2"/>
        <v>45955</v>
      </c>
      <c r="AD3" s="17">
        <f t="shared" si="2"/>
        <v>45956</v>
      </c>
      <c r="AE3" s="17">
        <f t="shared" si="2"/>
        <v>45957</v>
      </c>
      <c r="AF3" s="17">
        <f t="shared" si="2"/>
        <v>45958</v>
      </c>
      <c r="AG3" s="17">
        <f t="shared" si="2"/>
        <v>45959</v>
      </c>
      <c r="AH3" s="17">
        <f t="shared" si="2"/>
        <v>45960</v>
      </c>
      <c r="AI3" s="17">
        <f t="shared" si="2"/>
        <v>45961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82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19" si="4">if(countif($E4:$AI4,AJ$3)&gt;day(EOMONTH($T$2,0)),"Error",countif($E4:$AI4,AJ$3))</f>
        <v>31</v>
      </c>
      <c r="AK4" s="24">
        <f t="shared" ref="AK4:AK19" si="5">countif($E4:$AI4,AK$3)+(sum(AL4)/2)</f>
        <v>0</v>
      </c>
      <c r="AL4" s="24">
        <f t="shared" ref="AL4:AL19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/>
      <c r="AO5" s="71"/>
    </row>
    <row r="6" ht="19.5" customHeight="1">
      <c r="A6" s="20" t="str">
        <f t="shared" si="3"/>
        <v>Mustafa RazaCombiTandoor</v>
      </c>
      <c r="B6" s="21" t="s">
        <v>73</v>
      </c>
      <c r="C6" s="22" t="s">
        <v>29</v>
      </c>
      <c r="D6" s="22" t="s">
        <v>19</v>
      </c>
      <c r="E6" s="67" t="s">
        <v>13</v>
      </c>
      <c r="F6" s="67" t="s">
        <v>13</v>
      </c>
      <c r="G6" s="67" t="s">
        <v>13</v>
      </c>
      <c r="H6" s="67" t="s">
        <v>38</v>
      </c>
      <c r="I6" s="67" t="s">
        <v>38</v>
      </c>
      <c r="J6" s="67" t="s">
        <v>38</v>
      </c>
      <c r="K6" s="67" t="s">
        <v>38</v>
      </c>
      <c r="L6" s="23" t="s">
        <v>38</v>
      </c>
      <c r="M6" s="23" t="s">
        <v>38</v>
      </c>
      <c r="N6" s="23" t="s">
        <v>38</v>
      </c>
      <c r="O6" s="23" t="s">
        <v>38</v>
      </c>
      <c r="P6" s="67" t="s">
        <v>38</v>
      </c>
      <c r="Q6" s="67" t="s">
        <v>38</v>
      </c>
      <c r="R6" s="23" t="s">
        <v>38</v>
      </c>
      <c r="S6" s="23" t="s">
        <v>38</v>
      </c>
      <c r="T6" s="23" t="s">
        <v>38</v>
      </c>
      <c r="U6" s="23" t="s">
        <v>38</v>
      </c>
      <c r="V6" s="23" t="s">
        <v>38</v>
      </c>
      <c r="W6" s="34" t="s">
        <v>38</v>
      </c>
      <c r="X6" s="23" t="s">
        <v>38</v>
      </c>
      <c r="Y6" s="23" t="s">
        <v>38</v>
      </c>
      <c r="Z6" s="23" t="s">
        <v>38</v>
      </c>
      <c r="AA6" s="67" t="s">
        <v>38</v>
      </c>
      <c r="AB6" s="67" t="s">
        <v>38</v>
      </c>
      <c r="AC6" s="67" t="s">
        <v>38</v>
      </c>
      <c r="AD6" s="23" t="s">
        <v>38</v>
      </c>
      <c r="AE6" s="23" t="s">
        <v>38</v>
      </c>
      <c r="AF6" s="23" t="s">
        <v>38</v>
      </c>
      <c r="AG6" s="23" t="s">
        <v>38</v>
      </c>
      <c r="AH6" s="23" t="s">
        <v>38</v>
      </c>
      <c r="AI6" s="23" t="s">
        <v>38</v>
      </c>
      <c r="AJ6" s="24">
        <f t="shared" si="4"/>
        <v>3</v>
      </c>
      <c r="AK6" s="24">
        <f t="shared" si="5"/>
        <v>0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</v>
      </c>
      <c r="AN6" s="70"/>
      <c r="AO6" s="87"/>
    </row>
    <row r="7" ht="19.5" customHeight="1">
      <c r="A7" s="20" t="str">
        <f t="shared" si="3"/>
        <v>IrfanChefChinese</v>
      </c>
      <c r="B7" s="21" t="s">
        <v>44</v>
      </c>
      <c r="C7" s="22" t="s">
        <v>18</v>
      </c>
      <c r="D7" s="22" t="s">
        <v>40</v>
      </c>
      <c r="E7" s="67" t="s">
        <v>13</v>
      </c>
      <c r="F7" s="67" t="s">
        <v>13</v>
      </c>
      <c r="G7" s="67" t="s">
        <v>13</v>
      </c>
      <c r="H7" s="67" t="s">
        <v>13</v>
      </c>
      <c r="I7" s="67" t="s">
        <v>13</v>
      </c>
      <c r="J7" s="67" t="s">
        <v>13</v>
      </c>
      <c r="K7" s="67" t="s">
        <v>13</v>
      </c>
      <c r="L7" s="23" t="s">
        <v>13</v>
      </c>
      <c r="M7" s="23" t="s">
        <v>20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34" t="s">
        <v>13</v>
      </c>
      <c r="X7" s="23" t="s">
        <v>34</v>
      </c>
      <c r="Y7" s="23" t="s">
        <v>13</v>
      </c>
      <c r="Z7" s="23" t="s">
        <v>13</v>
      </c>
      <c r="AA7" s="67" t="s">
        <v>34</v>
      </c>
      <c r="AB7" s="67" t="s">
        <v>13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4"/>
        <v>28</v>
      </c>
      <c r="AK7" s="24">
        <f t="shared" si="5"/>
        <v>2</v>
      </c>
      <c r="AL7" s="24">
        <f t="shared" si="6"/>
        <v>2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31</v>
      </c>
      <c r="AN7" s="69"/>
      <c r="AO7" s="71"/>
    </row>
    <row r="8" ht="19.5" customHeight="1">
      <c r="A8" s="20" t="str">
        <f t="shared" si="3"/>
        <v>WakilHelperTandoor</v>
      </c>
      <c r="B8" s="21" t="s">
        <v>24</v>
      </c>
      <c r="C8" s="20" t="s">
        <v>15</v>
      </c>
      <c r="D8" s="20" t="s">
        <v>19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23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34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30</v>
      </c>
      <c r="AK8" s="24">
        <f t="shared" si="5"/>
        <v>0.5</v>
      </c>
      <c r="AL8" s="24">
        <f t="shared" si="6"/>
        <v>1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0</v>
      </c>
      <c r="AN8" s="70"/>
      <c r="AO8" s="68"/>
    </row>
    <row r="9" ht="19.5" customHeight="1">
      <c r="A9" s="20" t="str">
        <f t="shared" si="3"/>
        <v>SuhailWaiterService</v>
      </c>
      <c r="B9" s="21" t="s">
        <v>21</v>
      </c>
      <c r="C9" s="20" t="s">
        <v>22</v>
      </c>
      <c r="D9" s="20" t="s">
        <v>12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20</v>
      </c>
      <c r="K9" s="23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4">
        <f t="shared" si="4"/>
        <v>30</v>
      </c>
      <c r="AK9" s="24">
        <f t="shared" si="5"/>
        <v>1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32</v>
      </c>
      <c r="AN9" s="69"/>
      <c r="AO9" s="68"/>
    </row>
    <row r="10" ht="19.5" customHeight="1">
      <c r="A10" s="20" t="str">
        <f t="shared" si="3"/>
        <v>HasimHelperMori</v>
      </c>
      <c r="B10" s="21" t="s">
        <v>69</v>
      </c>
      <c r="C10" s="20" t="s">
        <v>15</v>
      </c>
      <c r="D10" s="20" t="s">
        <v>16</v>
      </c>
      <c r="E10" s="23" t="s">
        <v>13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13</v>
      </c>
      <c r="R10" s="23" t="s">
        <v>34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34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13</v>
      </c>
      <c r="AD10" s="23" t="s">
        <v>13</v>
      </c>
      <c r="AE10" s="23" t="s">
        <v>13</v>
      </c>
      <c r="AF10" s="23" t="s">
        <v>34</v>
      </c>
      <c r="AG10" s="23" t="s">
        <v>34</v>
      </c>
      <c r="AH10" s="23" t="s">
        <v>13</v>
      </c>
      <c r="AI10" s="23" t="s">
        <v>13</v>
      </c>
      <c r="AJ10" s="24">
        <f t="shared" si="4"/>
        <v>27</v>
      </c>
      <c r="AK10" s="24">
        <f t="shared" si="5"/>
        <v>2</v>
      </c>
      <c r="AL10" s="24">
        <f t="shared" si="6"/>
        <v>4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31</v>
      </c>
      <c r="AN10" s="69"/>
      <c r="AO10" s="68"/>
    </row>
    <row r="11" ht="19.5" customHeight="1">
      <c r="A11" s="20" t="str">
        <f t="shared" si="3"/>
        <v>Sajid NooriHead ChefIndian</v>
      </c>
      <c r="B11" s="21" t="s">
        <v>71</v>
      </c>
      <c r="C11" s="20" t="s">
        <v>72</v>
      </c>
      <c r="D11" s="20" t="s">
        <v>33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20</v>
      </c>
      <c r="AE11" s="23" t="s">
        <v>20</v>
      </c>
      <c r="AF11" s="23" t="s">
        <v>20</v>
      </c>
      <c r="AG11" s="23" t="s">
        <v>20</v>
      </c>
      <c r="AH11" s="23" t="s">
        <v>20</v>
      </c>
      <c r="AI11" s="23" t="s">
        <v>20</v>
      </c>
      <c r="AJ11" s="24">
        <f t="shared" si="4"/>
        <v>25</v>
      </c>
      <c r="AK11" s="24">
        <f t="shared" si="5"/>
        <v>6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26</v>
      </c>
      <c r="AN11" s="69"/>
      <c r="AO11" s="68"/>
    </row>
    <row r="12" ht="19.5" customHeight="1">
      <c r="A12" s="20" t="str">
        <f t="shared" si="3"/>
        <v>NaseemSupervisorSupervisor</v>
      </c>
      <c r="B12" s="81" t="s">
        <v>26</v>
      </c>
      <c r="C12" s="81" t="s">
        <v>27</v>
      </c>
      <c r="D12" s="81" t="s">
        <v>27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23" t="s">
        <v>13</v>
      </c>
      <c r="Q12" s="23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 t="s">
        <v>13</v>
      </c>
      <c r="AJ12" s="24">
        <f t="shared" si="4"/>
        <v>31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33</v>
      </c>
      <c r="AN12" s="69"/>
      <c r="AO12" s="68"/>
    </row>
    <row r="13" ht="19.5" customHeight="1">
      <c r="A13" s="20" t="str">
        <f t="shared" si="3"/>
        <v>SameerBillerService</v>
      </c>
      <c r="B13" s="81" t="s">
        <v>23</v>
      </c>
      <c r="C13" s="81" t="s">
        <v>42</v>
      </c>
      <c r="D13" s="81" t="s">
        <v>12</v>
      </c>
      <c r="E13" s="23" t="s">
        <v>20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  <c r="K13" s="23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34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34</v>
      </c>
      <c r="X13" s="23" t="s">
        <v>38</v>
      </c>
      <c r="Y13" s="23" t="s">
        <v>38</v>
      </c>
      <c r="Z13" s="23" t="s">
        <v>38</v>
      </c>
      <c r="AA13" s="23" t="s">
        <v>38</v>
      </c>
      <c r="AB13" s="23" t="s">
        <v>38</v>
      </c>
      <c r="AC13" s="23" t="s">
        <v>38</v>
      </c>
      <c r="AD13" s="23" t="s">
        <v>38</v>
      </c>
      <c r="AE13" s="23" t="s">
        <v>38</v>
      </c>
      <c r="AF13" s="23" t="s">
        <v>38</v>
      </c>
      <c r="AG13" s="23" t="s">
        <v>38</v>
      </c>
      <c r="AH13" s="23" t="s">
        <v>38</v>
      </c>
      <c r="AI13" s="23" t="s">
        <v>38</v>
      </c>
      <c r="AJ13" s="24">
        <f t="shared" si="4"/>
        <v>16</v>
      </c>
      <c r="AK13" s="24">
        <f t="shared" si="5"/>
        <v>2</v>
      </c>
      <c r="AL13" s="24">
        <f t="shared" si="6"/>
        <v>2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18</v>
      </c>
      <c r="AN13" s="70"/>
      <c r="AO13" s="68"/>
    </row>
    <row r="14" ht="19.5" customHeight="1">
      <c r="A14" s="20" t="str">
        <f t="shared" si="3"/>
        <v>RajuWaiterService</v>
      </c>
      <c r="B14" s="81" t="s">
        <v>74</v>
      </c>
      <c r="C14" s="81" t="s">
        <v>22</v>
      </c>
      <c r="D14" s="81" t="s">
        <v>12</v>
      </c>
      <c r="E14" s="23" t="s">
        <v>13</v>
      </c>
      <c r="F14" s="23" t="s">
        <v>20</v>
      </c>
      <c r="G14" s="23" t="s">
        <v>13</v>
      </c>
      <c r="H14" s="23" t="s">
        <v>13</v>
      </c>
      <c r="I14" s="23" t="s">
        <v>13</v>
      </c>
      <c r="J14" s="23" t="s">
        <v>13</v>
      </c>
      <c r="K14" s="23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13</v>
      </c>
      <c r="T14" s="23" t="s">
        <v>34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34</v>
      </c>
      <c r="AI14" s="23" t="s">
        <v>13</v>
      </c>
      <c r="AJ14" s="24">
        <f t="shared" si="4"/>
        <v>28</v>
      </c>
      <c r="AK14" s="24">
        <f t="shared" si="5"/>
        <v>2</v>
      </c>
      <c r="AL14" s="24">
        <f t="shared" si="6"/>
        <v>2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31</v>
      </c>
      <c r="AN14" s="69"/>
      <c r="AO14" s="68"/>
    </row>
    <row r="15" ht="19.5" customHeight="1">
      <c r="A15" s="20" t="str">
        <f t="shared" si="3"/>
        <v>AasifChefIndian</v>
      </c>
      <c r="B15" s="81" t="s">
        <v>32</v>
      </c>
      <c r="C15" s="81" t="s">
        <v>18</v>
      </c>
      <c r="D15" s="81" t="s">
        <v>33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31</v>
      </c>
      <c r="AK15" s="24">
        <f t="shared" si="5"/>
        <v>0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33</v>
      </c>
      <c r="AN15" s="70">
        <v>1000.0</v>
      </c>
      <c r="AO15" s="68"/>
    </row>
    <row r="16" ht="19.5" customHeight="1">
      <c r="A16" s="20" t="str">
        <f t="shared" si="3"/>
        <v>AyazHelperTandoor</v>
      </c>
      <c r="B16" s="81" t="s">
        <v>75</v>
      </c>
      <c r="C16" s="81" t="s">
        <v>15</v>
      </c>
      <c r="D16" s="81" t="s">
        <v>19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38</v>
      </c>
      <c r="R16" s="23" t="s">
        <v>38</v>
      </c>
      <c r="S16" s="23" t="s">
        <v>38</v>
      </c>
      <c r="T16" s="23" t="s">
        <v>38</v>
      </c>
      <c r="U16" s="23" t="s">
        <v>38</v>
      </c>
      <c r="V16" s="23" t="s">
        <v>38</v>
      </c>
      <c r="W16" s="23" t="s">
        <v>38</v>
      </c>
      <c r="X16" s="23" t="s">
        <v>38</v>
      </c>
      <c r="Y16" s="23" t="s">
        <v>38</v>
      </c>
      <c r="Z16" s="23" t="s">
        <v>38</v>
      </c>
      <c r="AA16" s="23" t="s">
        <v>38</v>
      </c>
      <c r="AB16" s="23" t="s">
        <v>38</v>
      </c>
      <c r="AC16" s="23" t="s">
        <v>38</v>
      </c>
      <c r="AD16" s="23" t="s">
        <v>38</v>
      </c>
      <c r="AE16" s="23" t="s">
        <v>38</v>
      </c>
      <c r="AF16" s="23" t="s">
        <v>38</v>
      </c>
      <c r="AG16" s="23" t="s">
        <v>38</v>
      </c>
      <c r="AH16" s="23" t="s">
        <v>38</v>
      </c>
      <c r="AI16" s="23" t="s">
        <v>38</v>
      </c>
      <c r="AJ16" s="24">
        <f t="shared" si="4"/>
        <v>12</v>
      </c>
      <c r="AK16" s="24">
        <f t="shared" si="5"/>
        <v>0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12</v>
      </c>
      <c r="AN16" s="69"/>
      <c r="AO16" s="68"/>
    </row>
    <row r="17" ht="19.5" customHeight="1">
      <c r="A17" s="20" t="str">
        <f t="shared" si="3"/>
        <v>NoorHelperIndian</v>
      </c>
      <c r="B17" s="81" t="s">
        <v>77</v>
      </c>
      <c r="C17" s="81" t="s">
        <v>15</v>
      </c>
      <c r="D17" s="81" t="s">
        <v>33</v>
      </c>
      <c r="E17" s="23" t="s">
        <v>13</v>
      </c>
      <c r="F17" s="23" t="s">
        <v>13</v>
      </c>
      <c r="G17" s="23" t="s">
        <v>13</v>
      </c>
      <c r="H17" s="23" t="s">
        <v>13</v>
      </c>
      <c r="I17" s="23" t="s">
        <v>13</v>
      </c>
      <c r="J17" s="23" t="s">
        <v>13</v>
      </c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20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30</v>
      </c>
      <c r="AK17" s="24">
        <f t="shared" si="5"/>
        <v>1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32</v>
      </c>
      <c r="AN17" s="69"/>
      <c r="AO17" s="68"/>
    </row>
    <row r="18" ht="19.5" customHeight="1">
      <c r="A18" s="20" t="str">
        <f t="shared" si="3"/>
        <v>ManoharWaiterService</v>
      </c>
      <c r="B18" s="81" t="s">
        <v>78</v>
      </c>
      <c r="C18" s="81" t="s">
        <v>22</v>
      </c>
      <c r="D18" s="81" t="s">
        <v>12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 t="s">
        <v>13</v>
      </c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 t="s">
        <v>13</v>
      </c>
      <c r="AJ18" s="24">
        <f t="shared" si="4"/>
        <v>14</v>
      </c>
      <c r="AK18" s="24">
        <f t="shared" si="5"/>
        <v>0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15</v>
      </c>
      <c r="AN18" s="69"/>
      <c r="AO18" s="68"/>
    </row>
    <row r="19" ht="19.5" customHeight="1">
      <c r="A19" s="20" t="str">
        <f t="shared" si="3"/>
        <v>DanishCombiIndian</v>
      </c>
      <c r="B19" s="81" t="s">
        <v>43</v>
      </c>
      <c r="C19" s="81" t="s">
        <v>29</v>
      </c>
      <c r="D19" s="81" t="s">
        <v>33</v>
      </c>
      <c r="AH19" s="23"/>
      <c r="AI19" s="23" t="s">
        <v>13</v>
      </c>
      <c r="AJ19" s="24">
        <f t="shared" si="4"/>
        <v>1</v>
      </c>
      <c r="AK19" s="24">
        <f t="shared" si="5"/>
        <v>0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1</v>
      </c>
      <c r="AN19" s="69"/>
      <c r="AO19" s="68"/>
    </row>
    <row r="20" ht="19.5" customHeight="1">
      <c r="A20" s="20" t="str">
        <f t="shared" si="3"/>
        <v/>
      </c>
    </row>
    <row r="21" ht="19.5" customHeight="1">
      <c r="A21" s="20" t="str">
        <f t="shared" si="3"/>
        <v/>
      </c>
    </row>
    <row r="22" ht="19.5" customHeight="1">
      <c r="A22" s="20" t="str">
        <f t="shared" si="3"/>
        <v/>
      </c>
    </row>
    <row r="23" ht="19.5" customHeight="1">
      <c r="A23" s="20" t="str">
        <f t="shared" si="3"/>
        <v/>
      </c>
    </row>
    <row r="24" ht="19.5" customHeight="1">
      <c r="A24" s="20" t="str">
        <f t="shared" si="3"/>
        <v/>
      </c>
    </row>
    <row r="25" ht="19.5" customHeight="1">
      <c r="A25" s="20" t="str">
        <f t="shared" si="3"/>
        <v/>
      </c>
    </row>
    <row r="26" ht="19.5" customHeight="1">
      <c r="A26" s="20" t="str">
        <f t="shared" si="3"/>
        <v/>
      </c>
    </row>
    <row r="27" ht="19.5" customHeight="1">
      <c r="A27" s="20" t="str">
        <f t="shared" si="3"/>
        <v/>
      </c>
    </row>
    <row r="28" ht="19.5" customHeight="1">
      <c r="A28" s="20" t="str">
        <f t="shared" si="3"/>
        <v/>
      </c>
    </row>
    <row r="29" ht="19.5" customHeight="1">
      <c r="A29" s="20" t="str">
        <f t="shared" si="3"/>
        <v/>
      </c>
    </row>
    <row r="30" ht="19.5" customHeight="1">
      <c r="A30" s="20" t="str">
        <f t="shared" si="3"/>
        <v/>
      </c>
    </row>
    <row r="31" ht="19.5" customHeight="1">
      <c r="A31" s="20" t="str">
        <f t="shared" si="3"/>
        <v/>
      </c>
    </row>
    <row r="32" ht="19.5" customHeight="1">
      <c r="A32" s="20" t="str">
        <f t="shared" si="3"/>
        <v/>
      </c>
    </row>
    <row r="33" ht="19.5" customHeight="1">
      <c r="A33" s="20" t="str">
        <f t="shared" si="3"/>
        <v/>
      </c>
    </row>
    <row r="34" ht="19.5" customHeight="1">
      <c r="A34" s="20" t="str">
        <f t="shared" si="3"/>
        <v/>
      </c>
    </row>
    <row r="35" ht="19.5" customHeight="1">
      <c r="A35" s="20" t="str">
        <f t="shared" si="3"/>
        <v/>
      </c>
    </row>
    <row r="36" ht="19.5" customHeight="1">
      <c r="A36" s="20" t="str">
        <f t="shared" si="3"/>
        <v/>
      </c>
    </row>
    <row r="37" ht="19.5" customHeight="1">
      <c r="A37" s="20" t="str">
        <f t="shared" si="3"/>
        <v/>
      </c>
    </row>
    <row r="38" ht="19.5" customHeight="1">
      <c r="A38" s="20" t="str">
        <f t="shared" si="3"/>
        <v/>
      </c>
    </row>
    <row r="39" ht="19.5" customHeight="1">
      <c r="A39" s="20" t="str">
        <f t="shared" si="3"/>
        <v/>
      </c>
    </row>
    <row r="40" ht="19.5" customHeight="1">
      <c r="A40" s="20" t="str">
        <f t="shared" si="3"/>
        <v/>
      </c>
    </row>
    <row r="41" ht="19.5" customHeight="1">
      <c r="A41" s="20" t="str">
        <f t="shared" si="3"/>
        <v/>
      </c>
    </row>
    <row r="42" ht="19.5" customHeight="1">
      <c r="A42" s="20" t="str">
        <f t="shared" si="3"/>
        <v/>
      </c>
    </row>
    <row r="43" ht="19.5" customHeight="1">
      <c r="A43" s="20" t="str">
        <f t="shared" si="3"/>
        <v/>
      </c>
    </row>
    <row r="44" ht="19.5" customHeight="1">
      <c r="A44" s="20" t="str">
        <f t="shared" si="3"/>
        <v/>
      </c>
    </row>
    <row r="45" ht="19.5" customHeight="1">
      <c r="A45" s="20" t="str">
        <f t="shared" si="3"/>
        <v/>
      </c>
    </row>
    <row r="46" ht="19.5" customHeight="1">
      <c r="A46" s="20" t="str">
        <f t="shared" si="3"/>
        <v/>
      </c>
    </row>
    <row r="47" ht="19.5" customHeight="1">
      <c r="A47" s="20" t="str">
        <f t="shared" si="3"/>
        <v/>
      </c>
    </row>
    <row r="48" ht="19.5" customHeight="1">
      <c r="A48" s="20" t="str">
        <f t="shared" si="3"/>
        <v/>
      </c>
    </row>
    <row r="49" ht="19.5" customHeight="1">
      <c r="A49" s="20" t="str">
        <f t="shared" si="3"/>
        <v/>
      </c>
    </row>
    <row r="50" ht="19.5" customHeight="1">
      <c r="A50" s="20" t="str">
        <f t="shared" si="3"/>
        <v/>
      </c>
    </row>
    <row r="51" ht="19.5" customHeight="1">
      <c r="A51" s="20" t="str">
        <f t="shared" si="3"/>
        <v/>
      </c>
    </row>
    <row r="52" ht="19.5" customHeight="1">
      <c r="A52" s="20" t="str">
        <f t="shared" si="3"/>
        <v/>
      </c>
    </row>
    <row r="53" ht="19.5" customHeight="1">
      <c r="A53" s="20" t="str">
        <f t="shared" si="3"/>
        <v/>
      </c>
    </row>
    <row r="54" ht="19.5" customHeight="1">
      <c r="A54" s="20" t="str">
        <f t="shared" si="3"/>
        <v/>
      </c>
    </row>
    <row r="55" ht="19.5" customHeight="1">
      <c r="A55" s="20" t="str">
        <f t="shared" si="3"/>
        <v/>
      </c>
    </row>
    <row r="56" ht="19.5" customHeight="1">
      <c r="A56" s="20" t="str">
        <f t="shared" si="3"/>
        <v/>
      </c>
    </row>
    <row r="57" ht="19.5" customHeight="1">
      <c r="A57" s="20" t="str">
        <f t="shared" si="3"/>
        <v/>
      </c>
    </row>
    <row r="58" ht="19.5" customHeight="1">
      <c r="A58" s="20" t="str">
        <f t="shared" si="3"/>
        <v/>
      </c>
    </row>
    <row r="59" ht="19.5" customHeight="1">
      <c r="A59" s="20" t="str">
        <f t="shared" si="3"/>
        <v/>
      </c>
    </row>
    <row r="60" ht="19.5" customHeight="1">
      <c r="A60" s="20" t="str">
        <f t="shared" si="3"/>
        <v/>
      </c>
    </row>
    <row r="61" ht="19.5" customHeight="1">
      <c r="A61" s="20" t="str">
        <f t="shared" si="3"/>
        <v/>
      </c>
    </row>
    <row r="62" ht="19.5" customHeight="1">
      <c r="A62" s="20" t="str">
        <f t="shared" si="3"/>
        <v/>
      </c>
    </row>
    <row r="63" ht="19.5" customHeight="1">
      <c r="A63" s="20" t="str">
        <f t="shared" si="3"/>
        <v/>
      </c>
    </row>
    <row r="64" ht="19.5" customHeight="1">
      <c r="A64" s="20" t="str">
        <f t="shared" si="3"/>
        <v/>
      </c>
    </row>
    <row r="65" ht="19.5" customHeight="1">
      <c r="A65" s="20" t="str">
        <f t="shared" si="3"/>
        <v/>
      </c>
    </row>
    <row r="66" ht="19.5" customHeight="1">
      <c r="A66" s="20" t="str">
        <f t="shared" si="3"/>
        <v/>
      </c>
    </row>
    <row r="67" ht="19.5" customHeight="1">
      <c r="A67" s="20" t="str">
        <f t="shared" si="3"/>
        <v/>
      </c>
    </row>
    <row r="68" ht="19.5" customHeight="1">
      <c r="A68" s="20" t="str">
        <f t="shared" si="3"/>
        <v/>
      </c>
    </row>
    <row r="69" ht="19.5" customHeight="1">
      <c r="A69" s="20" t="str">
        <f t="shared" si="3"/>
        <v/>
      </c>
    </row>
    <row r="70" ht="19.5" customHeight="1">
      <c r="A70" s="20" t="str">
        <f t="shared" si="3"/>
        <v/>
      </c>
    </row>
    <row r="71" ht="19.5" customHeight="1">
      <c r="A71" s="20" t="str">
        <f t="shared" si="3"/>
        <v/>
      </c>
    </row>
    <row r="72" ht="19.5" customHeight="1">
      <c r="A72" s="20" t="str">
        <f t="shared" si="3"/>
        <v/>
      </c>
    </row>
    <row r="73" ht="19.5" customHeight="1">
      <c r="A73" s="20" t="str">
        <f t="shared" si="3"/>
        <v/>
      </c>
    </row>
    <row r="74" ht="19.5" customHeight="1">
      <c r="A74" s="20" t="str">
        <f t="shared" si="3"/>
        <v/>
      </c>
    </row>
    <row r="75" ht="19.5" customHeight="1">
      <c r="A75" s="20" t="str">
        <f t="shared" si="3"/>
        <v/>
      </c>
    </row>
    <row r="76" ht="19.5" customHeight="1">
      <c r="A76" s="20" t="str">
        <f t="shared" si="3"/>
        <v/>
      </c>
    </row>
    <row r="77" ht="19.5" customHeight="1">
      <c r="A77" s="20" t="str">
        <f t="shared" si="3"/>
        <v/>
      </c>
    </row>
    <row r="78" ht="19.5" customHeight="1">
      <c r="A78" s="20" t="str">
        <f t="shared" si="3"/>
        <v/>
      </c>
    </row>
    <row r="79" ht="19.5" customHeight="1">
      <c r="A79" s="20" t="str">
        <f t="shared" si="3"/>
        <v/>
      </c>
    </row>
    <row r="80" ht="19.5" customHeight="1">
      <c r="A80" s="20" t="str">
        <f t="shared" si="3"/>
        <v/>
      </c>
    </row>
    <row r="81" ht="19.5" customHeight="1">
      <c r="A81" s="20" t="str">
        <f t="shared" si="3"/>
        <v/>
      </c>
    </row>
    <row r="82" ht="19.5" customHeight="1">
      <c r="A82" s="20" t="str">
        <f t="shared" si="3"/>
        <v/>
      </c>
    </row>
    <row r="83" ht="19.5" customHeight="1">
      <c r="A83" s="20" t="str">
        <f t="shared" si="3"/>
        <v/>
      </c>
    </row>
    <row r="84" ht="19.5" customHeight="1">
      <c r="A84" s="20" t="str">
        <f t="shared" si="3"/>
        <v/>
      </c>
    </row>
    <row r="85" ht="19.5" customHeight="1">
      <c r="A85" s="20" t="str">
        <f t="shared" si="3"/>
        <v/>
      </c>
    </row>
    <row r="86" ht="19.5" customHeight="1">
      <c r="A86" s="20" t="str">
        <f t="shared" si="3"/>
        <v/>
      </c>
    </row>
    <row r="87" ht="19.5" customHeight="1">
      <c r="A87" s="20" t="str">
        <f t="shared" si="3"/>
        <v/>
      </c>
    </row>
    <row r="88" ht="19.5" customHeight="1">
      <c r="A88" s="20" t="str">
        <f t="shared" si="3"/>
        <v/>
      </c>
    </row>
    <row r="89" ht="19.5" customHeight="1">
      <c r="A89" s="20" t="str">
        <f t="shared" si="3"/>
        <v/>
      </c>
    </row>
    <row r="90" ht="19.5" customHeight="1">
      <c r="A90" s="20" t="str">
        <f t="shared" si="3"/>
        <v/>
      </c>
    </row>
    <row r="91" ht="19.5" customHeight="1">
      <c r="A91" s="20" t="str">
        <f t="shared" si="3"/>
        <v/>
      </c>
    </row>
    <row r="92" ht="19.5" customHeight="1">
      <c r="A92" s="20" t="str">
        <f t="shared" si="3"/>
        <v/>
      </c>
    </row>
    <row r="93" ht="19.5" customHeight="1">
      <c r="A93" s="20" t="str">
        <f t="shared" si="3"/>
        <v/>
      </c>
    </row>
    <row r="94" ht="19.5" customHeight="1">
      <c r="A94" s="20" t="str">
        <f t="shared" si="3"/>
        <v/>
      </c>
    </row>
    <row r="95" ht="19.5" customHeight="1">
      <c r="A95" s="20" t="str">
        <f t="shared" si="3"/>
        <v/>
      </c>
    </row>
    <row r="96" ht="19.5" customHeight="1">
      <c r="A96" s="20" t="str">
        <f t="shared" si="3"/>
        <v/>
      </c>
    </row>
    <row r="97" ht="19.5" customHeight="1">
      <c r="A97" s="20" t="str">
        <f t="shared" si="3"/>
        <v/>
      </c>
    </row>
    <row r="98" ht="19.5" customHeight="1">
      <c r="A98" s="20" t="str">
        <f t="shared" si="3"/>
        <v/>
      </c>
    </row>
    <row r="99" ht="19.5" customHeight="1">
      <c r="A99" s="20" t="str">
        <f t="shared" si="3"/>
        <v/>
      </c>
    </row>
    <row r="100" ht="19.5" customHeight="1">
      <c r="A100" s="20" t="str">
        <f t="shared" si="3"/>
        <v/>
      </c>
    </row>
    <row r="101" ht="19.5" customHeight="1">
      <c r="A101" s="20" t="str">
        <f t="shared" si="3"/>
        <v/>
      </c>
    </row>
    <row r="102" ht="19.5" customHeight="1">
      <c r="A102" s="20" t="str">
        <f t="shared" si="3"/>
        <v/>
      </c>
    </row>
    <row r="103" ht="19.5" customHeight="1">
      <c r="A103" s="20" t="str">
        <f t="shared" si="3"/>
        <v/>
      </c>
    </row>
    <row r="104" ht="19.5" customHeight="1">
      <c r="A104" s="20" t="str">
        <f t="shared" si="3"/>
        <v/>
      </c>
    </row>
    <row r="105" ht="19.5" customHeight="1">
      <c r="A105" s="20" t="str">
        <f t="shared" si="3"/>
        <v/>
      </c>
    </row>
    <row r="106" ht="19.5" customHeight="1">
      <c r="A106" s="20" t="str">
        <f t="shared" si="3"/>
        <v/>
      </c>
    </row>
    <row r="107" ht="19.5" customHeight="1">
      <c r="A107" s="20" t="str">
        <f t="shared" si="3"/>
        <v/>
      </c>
    </row>
    <row r="108" ht="19.5" customHeight="1">
      <c r="A108" s="20" t="str">
        <f t="shared" si="3"/>
        <v/>
      </c>
    </row>
    <row r="109" ht="19.5" customHeight="1">
      <c r="A109" s="20" t="str">
        <f t="shared" si="3"/>
        <v/>
      </c>
    </row>
    <row r="110" ht="19.5" customHeight="1">
      <c r="A110" s="20" t="str">
        <f t="shared" si="3"/>
        <v/>
      </c>
    </row>
    <row r="111" ht="19.5" customHeight="1">
      <c r="A111" s="20" t="str">
        <f t="shared" si="3"/>
        <v/>
      </c>
    </row>
    <row r="112" ht="19.5" customHeight="1">
      <c r="A112" s="20" t="str">
        <f t="shared" si="3"/>
        <v/>
      </c>
    </row>
    <row r="113" ht="19.5" customHeight="1">
      <c r="A113" s="20" t="str">
        <f t="shared" si="3"/>
        <v/>
      </c>
    </row>
    <row r="114" ht="19.5" customHeight="1">
      <c r="A114" s="20" t="str">
        <f t="shared" si="3"/>
        <v/>
      </c>
    </row>
    <row r="115" ht="19.5" customHeight="1">
      <c r="A115" s="20" t="str">
        <f t="shared" si="3"/>
        <v/>
      </c>
    </row>
    <row r="116" ht="19.5" customHeight="1">
      <c r="A116" s="20" t="str">
        <f t="shared" si="3"/>
        <v/>
      </c>
    </row>
    <row r="117" ht="19.5" customHeight="1">
      <c r="A117" s="20" t="str">
        <f t="shared" si="3"/>
        <v/>
      </c>
    </row>
    <row r="118" ht="19.5" customHeight="1">
      <c r="A118" s="20" t="str">
        <f t="shared" si="3"/>
        <v/>
      </c>
    </row>
    <row r="119" ht="19.5" customHeight="1">
      <c r="A119" s="20" t="str">
        <f t="shared" si="3"/>
        <v/>
      </c>
    </row>
    <row r="120" ht="19.5" customHeight="1">
      <c r="A120" s="20" t="str">
        <f t="shared" si="3"/>
        <v/>
      </c>
    </row>
    <row r="121" ht="19.5" customHeight="1">
      <c r="A121" s="20" t="str">
        <f t="shared" si="3"/>
        <v/>
      </c>
    </row>
    <row r="122" ht="19.5" customHeight="1">
      <c r="A122" s="20" t="str">
        <f t="shared" si="3"/>
        <v/>
      </c>
    </row>
    <row r="123" ht="19.5" customHeight="1">
      <c r="A123" s="20" t="str">
        <f t="shared" si="3"/>
        <v/>
      </c>
    </row>
    <row r="124" ht="19.5" customHeight="1">
      <c r="A124" s="20" t="str">
        <f t="shared" si="3"/>
        <v/>
      </c>
    </row>
    <row r="125" ht="19.5" customHeight="1">
      <c r="A125" s="20" t="str">
        <f t="shared" si="3"/>
        <v/>
      </c>
    </row>
    <row r="126" ht="19.5" customHeight="1">
      <c r="A126" s="20" t="str">
        <f t="shared" si="3"/>
        <v/>
      </c>
    </row>
    <row r="127" ht="19.5" customHeight="1">
      <c r="A127" s="20" t="str">
        <f t="shared" si="3"/>
        <v/>
      </c>
    </row>
    <row r="128" ht="19.5" customHeight="1">
      <c r="A128" s="20" t="str">
        <f t="shared" si="3"/>
        <v/>
      </c>
    </row>
    <row r="129" ht="19.5" customHeight="1">
      <c r="A129" s="20" t="str">
        <f t="shared" si="3"/>
        <v/>
      </c>
    </row>
    <row r="130" ht="19.5" customHeight="1">
      <c r="A130" s="20" t="str">
        <f t="shared" si="3"/>
        <v/>
      </c>
    </row>
    <row r="131" ht="19.5" customHeight="1">
      <c r="A131" s="20" t="str">
        <f t="shared" si="3"/>
        <v/>
      </c>
    </row>
    <row r="132" ht="19.5" customHeight="1">
      <c r="A132" s="20" t="str">
        <f t="shared" si="3"/>
        <v/>
      </c>
    </row>
    <row r="133" ht="19.5" customHeight="1">
      <c r="A133" s="20" t="str">
        <f t="shared" si="3"/>
        <v/>
      </c>
    </row>
    <row r="134" ht="19.5" customHeight="1">
      <c r="A134" s="20" t="str">
        <f t="shared" si="3"/>
        <v/>
      </c>
    </row>
    <row r="135" ht="19.5" customHeight="1">
      <c r="A135" s="20" t="str">
        <f t="shared" si="3"/>
        <v/>
      </c>
    </row>
    <row r="136" ht="19.5" customHeight="1">
      <c r="A136" s="20" t="str">
        <f t="shared" si="3"/>
        <v/>
      </c>
    </row>
    <row r="137" ht="19.5" customHeight="1">
      <c r="A137" s="20" t="str">
        <f t="shared" si="3"/>
        <v/>
      </c>
    </row>
    <row r="138" ht="19.5" customHeight="1">
      <c r="A138" s="20" t="str">
        <f t="shared" si="3"/>
        <v/>
      </c>
    </row>
    <row r="139" ht="19.5" customHeight="1">
      <c r="A139" s="20" t="str">
        <f t="shared" si="3"/>
        <v/>
      </c>
    </row>
    <row r="140" ht="19.5" customHeight="1">
      <c r="A140" s="20" t="str">
        <f t="shared" si="3"/>
        <v/>
      </c>
    </row>
    <row r="141" ht="19.5" customHeight="1">
      <c r="A141" s="20" t="str">
        <f t="shared" si="3"/>
        <v/>
      </c>
    </row>
    <row r="142" ht="19.5" customHeight="1">
      <c r="A142" s="20" t="str">
        <f t="shared" si="3"/>
        <v/>
      </c>
    </row>
    <row r="143" ht="19.5" customHeight="1">
      <c r="A143" s="20" t="str">
        <f t="shared" si="3"/>
        <v/>
      </c>
    </row>
    <row r="144" ht="19.5" customHeight="1">
      <c r="A144" s="20" t="str">
        <f t="shared" si="3"/>
        <v/>
      </c>
    </row>
    <row r="145" ht="19.5" customHeight="1">
      <c r="A145" s="20" t="str">
        <f t="shared" si="3"/>
        <v/>
      </c>
    </row>
    <row r="146" ht="19.5" customHeight="1">
      <c r="A146" s="20" t="str">
        <f t="shared" si="3"/>
        <v/>
      </c>
    </row>
    <row r="147" ht="19.5" customHeight="1">
      <c r="A147" s="20" t="str">
        <f t="shared" si="3"/>
        <v/>
      </c>
    </row>
    <row r="148" ht="19.5" customHeight="1">
      <c r="A148" s="20" t="str">
        <f t="shared" si="3"/>
        <v/>
      </c>
    </row>
    <row r="149" ht="19.5" customHeight="1">
      <c r="A149" s="20" t="str">
        <f t="shared" si="3"/>
        <v/>
      </c>
    </row>
    <row r="150" ht="19.5" customHeight="1">
      <c r="A150" s="20" t="str">
        <f t="shared" si="3"/>
        <v/>
      </c>
    </row>
    <row r="151" ht="19.5" customHeight="1">
      <c r="A151" s="20" t="str">
        <f t="shared" si="3"/>
        <v/>
      </c>
    </row>
    <row r="152" ht="19.5" customHeight="1">
      <c r="A152" s="20" t="str">
        <f t="shared" si="3"/>
        <v/>
      </c>
    </row>
    <row r="153" ht="19.5" customHeight="1">
      <c r="A153" s="20" t="str">
        <f t="shared" si="3"/>
        <v/>
      </c>
    </row>
    <row r="154" ht="19.5" customHeight="1">
      <c r="A154" s="20" t="str">
        <f t="shared" si="3"/>
        <v/>
      </c>
    </row>
    <row r="155" ht="19.5" customHeight="1">
      <c r="A155" s="20" t="str">
        <f t="shared" si="3"/>
        <v/>
      </c>
    </row>
    <row r="156" ht="19.5" customHeight="1">
      <c r="A156" s="20" t="str">
        <f t="shared" si="3"/>
        <v/>
      </c>
    </row>
    <row r="157" ht="19.5" customHeight="1">
      <c r="A157" s="20" t="str">
        <f t="shared" si="3"/>
        <v/>
      </c>
    </row>
    <row r="158" ht="19.5" customHeight="1">
      <c r="A158" s="20" t="str">
        <f t="shared" si="3"/>
        <v/>
      </c>
    </row>
    <row r="159" ht="19.5" customHeight="1">
      <c r="A159" s="20" t="str">
        <f t="shared" si="3"/>
        <v/>
      </c>
    </row>
    <row r="160" ht="19.5" customHeight="1">
      <c r="A160" s="20" t="str">
        <f t="shared" si="3"/>
        <v/>
      </c>
    </row>
    <row r="161" ht="19.5" customHeight="1">
      <c r="A161" s="20" t="str">
        <f t="shared" si="3"/>
        <v/>
      </c>
    </row>
    <row r="162" ht="19.5" customHeight="1">
      <c r="A162" s="20" t="str">
        <f t="shared" si="3"/>
        <v/>
      </c>
    </row>
    <row r="163" ht="19.5" customHeight="1">
      <c r="A163" s="20" t="str">
        <f t="shared" si="3"/>
        <v/>
      </c>
    </row>
    <row r="164" ht="19.5" customHeight="1">
      <c r="A164" s="20" t="str">
        <f t="shared" si="3"/>
        <v/>
      </c>
    </row>
    <row r="165" ht="19.5" customHeight="1">
      <c r="A165" s="20" t="str">
        <f t="shared" si="3"/>
        <v/>
      </c>
    </row>
    <row r="166" ht="19.5" customHeight="1">
      <c r="A166" s="20" t="str">
        <f t="shared" si="3"/>
        <v/>
      </c>
    </row>
    <row r="167" ht="19.5" customHeight="1">
      <c r="A167" s="20" t="str">
        <f t="shared" si="3"/>
        <v/>
      </c>
    </row>
    <row r="168" ht="19.5" customHeight="1">
      <c r="A168" s="20" t="str">
        <f t="shared" si="3"/>
        <v/>
      </c>
    </row>
    <row r="169" ht="19.5" customHeight="1">
      <c r="A169" s="20" t="str">
        <f t="shared" si="3"/>
        <v/>
      </c>
    </row>
    <row r="170" ht="19.5" customHeight="1">
      <c r="A170" s="20" t="str">
        <f t="shared" si="3"/>
        <v/>
      </c>
    </row>
    <row r="171" ht="19.5" customHeight="1">
      <c r="A171" s="20" t="str">
        <f t="shared" si="3"/>
        <v/>
      </c>
    </row>
    <row r="172" ht="19.5" customHeight="1">
      <c r="A172" s="20" t="str">
        <f t="shared" si="3"/>
        <v/>
      </c>
    </row>
    <row r="173" ht="19.5" customHeight="1">
      <c r="A173" s="20" t="str">
        <f t="shared" si="3"/>
        <v/>
      </c>
    </row>
    <row r="174" ht="19.5" customHeight="1">
      <c r="A174" s="20" t="str">
        <f t="shared" si="3"/>
        <v/>
      </c>
    </row>
    <row r="175" ht="19.5" customHeight="1">
      <c r="A175" s="20" t="str">
        <f t="shared" si="3"/>
        <v/>
      </c>
    </row>
    <row r="176" ht="19.5" customHeight="1">
      <c r="A176" s="20" t="str">
        <f t="shared" si="3"/>
        <v/>
      </c>
    </row>
    <row r="177" ht="19.5" customHeight="1">
      <c r="A177" s="20" t="str">
        <f t="shared" si="3"/>
        <v/>
      </c>
    </row>
    <row r="178" ht="19.5" customHeight="1">
      <c r="A178" s="20" t="str">
        <f t="shared" si="3"/>
        <v/>
      </c>
    </row>
    <row r="179" ht="19.5" customHeight="1">
      <c r="A179" s="20" t="str">
        <f t="shared" si="3"/>
        <v/>
      </c>
    </row>
    <row r="180" ht="19.5" customHeight="1">
      <c r="A180" s="20" t="str">
        <f t="shared" si="3"/>
        <v/>
      </c>
    </row>
    <row r="181" ht="19.5" customHeight="1">
      <c r="A181" s="20" t="str">
        <f t="shared" si="3"/>
        <v/>
      </c>
    </row>
    <row r="182" ht="19.5" customHeight="1">
      <c r="A182" s="20" t="str">
        <f t="shared" si="3"/>
        <v/>
      </c>
    </row>
    <row r="183" ht="19.5" customHeight="1">
      <c r="A183" s="20" t="str">
        <f t="shared" si="3"/>
        <v/>
      </c>
    </row>
    <row r="184" ht="19.5" customHeight="1">
      <c r="A184" s="20" t="str">
        <f t="shared" si="3"/>
        <v/>
      </c>
    </row>
    <row r="185" ht="19.5" customHeight="1">
      <c r="A185" s="20" t="str">
        <f t="shared" si="3"/>
        <v/>
      </c>
    </row>
    <row r="186" ht="19.5" customHeight="1">
      <c r="A186" s="20" t="str">
        <f t="shared" si="3"/>
        <v/>
      </c>
    </row>
    <row r="187" ht="19.5" customHeight="1">
      <c r="A187" s="20" t="str">
        <f t="shared" si="3"/>
        <v/>
      </c>
    </row>
    <row r="188" ht="19.5" customHeight="1">
      <c r="A188" s="20" t="str">
        <f t="shared" si="3"/>
        <v/>
      </c>
    </row>
    <row r="189" ht="19.5" customHeight="1">
      <c r="A189" s="20" t="str">
        <f t="shared" si="3"/>
        <v/>
      </c>
    </row>
    <row r="190" ht="19.5" customHeight="1">
      <c r="A190" s="20" t="str">
        <f t="shared" si="3"/>
        <v/>
      </c>
    </row>
    <row r="191" ht="19.5" customHeight="1">
      <c r="A191" s="20" t="str">
        <f t="shared" si="3"/>
        <v/>
      </c>
    </row>
    <row r="192" ht="19.5" customHeight="1">
      <c r="A192" s="20" t="str">
        <f t="shared" si="3"/>
        <v/>
      </c>
    </row>
    <row r="193" ht="19.5" customHeight="1">
      <c r="A193" s="20" t="str">
        <f t="shared" si="3"/>
        <v/>
      </c>
    </row>
    <row r="194" ht="19.5" customHeight="1">
      <c r="A194" s="20" t="str">
        <f t="shared" si="3"/>
        <v/>
      </c>
    </row>
    <row r="195" ht="19.5" customHeight="1">
      <c r="A195" s="20" t="str">
        <f t="shared" si="3"/>
        <v/>
      </c>
    </row>
    <row r="196" ht="19.5" customHeight="1">
      <c r="A196" s="20" t="str">
        <f t="shared" si="3"/>
        <v/>
      </c>
    </row>
    <row r="197" ht="19.5" customHeight="1">
      <c r="A197" s="20" t="str">
        <f t="shared" si="3"/>
        <v/>
      </c>
    </row>
    <row r="198" ht="19.5" customHeight="1">
      <c r="A198" s="20" t="str">
        <f t="shared" si="3"/>
        <v/>
      </c>
    </row>
    <row r="199" ht="19.5" customHeight="1">
      <c r="A199" s="20" t="str">
        <f t="shared" si="3"/>
        <v/>
      </c>
    </row>
    <row r="200" ht="19.5" customHeight="1">
      <c r="A200" s="20" t="str">
        <f t="shared" si="3"/>
        <v/>
      </c>
    </row>
    <row r="201" ht="19.5" customHeight="1">
      <c r="A201" s="20" t="str">
        <f t="shared" si="3"/>
        <v/>
      </c>
    </row>
    <row r="202" ht="19.5" customHeight="1">
      <c r="A202" s="20" t="str">
        <f t="shared" si="3"/>
        <v/>
      </c>
    </row>
    <row r="203" ht="19.5" customHeight="1">
      <c r="A203" s="20" t="str">
        <f t="shared" si="3"/>
        <v/>
      </c>
    </row>
    <row r="204" ht="19.5" customHeight="1">
      <c r="A204" s="20" t="str">
        <f t="shared" si="3"/>
        <v/>
      </c>
    </row>
    <row r="205" ht="19.5" customHeight="1">
      <c r="A205" s="20" t="str">
        <f t="shared" si="3"/>
        <v/>
      </c>
    </row>
    <row r="206" ht="19.5" customHeight="1">
      <c r="A206" s="20" t="str">
        <f t="shared" si="3"/>
        <v/>
      </c>
    </row>
    <row r="207" ht="19.5" customHeight="1">
      <c r="A207" s="20" t="str">
        <f t="shared" si="3"/>
        <v/>
      </c>
    </row>
    <row r="208" ht="19.5" customHeight="1">
      <c r="A208" s="20" t="str">
        <f t="shared" si="3"/>
        <v/>
      </c>
    </row>
    <row r="209" ht="19.5" customHeight="1">
      <c r="A209" s="20" t="str">
        <f t="shared" si="3"/>
        <v/>
      </c>
    </row>
    <row r="210" ht="19.5" customHeight="1">
      <c r="A210" s="20" t="str">
        <f t="shared" si="3"/>
        <v/>
      </c>
    </row>
    <row r="211" ht="19.5" customHeight="1">
      <c r="A211" s="20" t="str">
        <f t="shared" si="3"/>
        <v/>
      </c>
    </row>
    <row r="212" ht="19.5" customHeight="1">
      <c r="A212" s="20" t="str">
        <f t="shared" si="3"/>
        <v/>
      </c>
    </row>
    <row r="213" ht="19.5" customHeight="1">
      <c r="A213" s="20" t="str">
        <f t="shared" si="3"/>
        <v/>
      </c>
    </row>
    <row r="214" ht="19.5" customHeight="1">
      <c r="A214" s="20" t="str">
        <f t="shared" si="3"/>
        <v/>
      </c>
    </row>
    <row r="215" ht="19.5" customHeight="1">
      <c r="A215" s="20" t="str">
        <f t="shared" si="3"/>
        <v/>
      </c>
    </row>
    <row r="216" ht="19.5" customHeight="1">
      <c r="A216" s="20" t="str">
        <f t="shared" si="3"/>
        <v/>
      </c>
    </row>
    <row r="217" ht="19.5" customHeight="1">
      <c r="A217" s="20" t="str">
        <f t="shared" si="3"/>
        <v/>
      </c>
    </row>
    <row r="218" ht="19.5" customHeight="1">
      <c r="A218" s="20" t="str">
        <f t="shared" si="3"/>
        <v/>
      </c>
    </row>
    <row r="219" ht="19.5" customHeight="1">
      <c r="A219" s="20" t="str">
        <f t="shared" si="3"/>
        <v/>
      </c>
    </row>
    <row r="220" ht="19.5" customHeight="1">
      <c r="A220" s="20" t="str">
        <f t="shared" si="3"/>
        <v/>
      </c>
    </row>
    <row r="221" ht="19.5" customHeight="1">
      <c r="A221" s="20" t="str">
        <f t="shared" si="3"/>
        <v/>
      </c>
    </row>
    <row r="222" ht="19.5" customHeight="1">
      <c r="A222" s="20" t="str">
        <f t="shared" si="3"/>
        <v/>
      </c>
    </row>
    <row r="223" ht="19.5" customHeight="1">
      <c r="A223" s="20" t="str">
        <f t="shared" si="3"/>
        <v/>
      </c>
    </row>
    <row r="224" ht="19.5" customHeight="1">
      <c r="A224" s="20" t="str">
        <f t="shared" si="3"/>
        <v/>
      </c>
    </row>
    <row r="225" ht="19.5" customHeight="1">
      <c r="A225" s="20" t="str">
        <f t="shared" si="3"/>
        <v/>
      </c>
    </row>
    <row r="226" ht="19.5" customHeight="1">
      <c r="A226" s="20" t="str">
        <f t="shared" si="3"/>
        <v/>
      </c>
    </row>
    <row r="227" ht="19.5" customHeight="1">
      <c r="A227" s="20" t="str">
        <f t="shared" si="3"/>
        <v/>
      </c>
    </row>
    <row r="228" ht="19.5" customHeight="1">
      <c r="A228" s="20" t="str">
        <f t="shared" si="3"/>
        <v/>
      </c>
    </row>
    <row r="229" ht="19.5" customHeight="1">
      <c r="A229" s="20" t="str">
        <f t="shared" si="3"/>
        <v/>
      </c>
    </row>
    <row r="230" ht="19.5" customHeight="1">
      <c r="A230" s="20" t="str">
        <f t="shared" si="3"/>
        <v/>
      </c>
    </row>
    <row r="231" ht="19.5" customHeight="1">
      <c r="A231" s="20" t="str">
        <f t="shared" si="3"/>
        <v/>
      </c>
    </row>
    <row r="232" ht="19.5" customHeight="1">
      <c r="A232" s="20" t="str">
        <f t="shared" si="3"/>
        <v/>
      </c>
    </row>
    <row r="233" ht="19.5" customHeight="1">
      <c r="A233" s="20" t="str">
        <f t="shared" si="3"/>
        <v/>
      </c>
    </row>
    <row r="234" ht="19.5" customHeight="1">
      <c r="A234" s="20" t="str">
        <f t="shared" si="3"/>
        <v/>
      </c>
    </row>
    <row r="235" ht="19.5" customHeight="1">
      <c r="A235" s="20" t="str">
        <f t="shared" si="3"/>
        <v/>
      </c>
    </row>
    <row r="236" ht="19.5" customHeight="1">
      <c r="A236" s="20" t="str">
        <f t="shared" si="3"/>
        <v/>
      </c>
    </row>
    <row r="237" ht="19.5" customHeight="1">
      <c r="A237" s="20" t="str">
        <f t="shared" si="3"/>
        <v/>
      </c>
    </row>
    <row r="238" ht="19.5" customHeight="1">
      <c r="A238" s="20" t="str">
        <f t="shared" si="3"/>
        <v/>
      </c>
    </row>
    <row r="239" ht="19.5" customHeight="1">
      <c r="A239" s="20" t="str">
        <f t="shared" si="3"/>
        <v/>
      </c>
    </row>
    <row r="240" ht="19.5" customHeight="1">
      <c r="A240" s="20" t="str">
        <f t="shared" si="3"/>
        <v/>
      </c>
    </row>
    <row r="241" ht="19.5" customHeight="1">
      <c r="A241" s="20" t="str">
        <f t="shared" si="3"/>
        <v/>
      </c>
    </row>
    <row r="242" ht="19.5" customHeight="1">
      <c r="A242" s="20" t="str">
        <f t="shared" si="3"/>
        <v/>
      </c>
    </row>
    <row r="243" ht="19.5" customHeight="1">
      <c r="A243" s="20" t="str">
        <f t="shared" si="3"/>
        <v/>
      </c>
    </row>
    <row r="244" ht="19.5" customHeight="1">
      <c r="A244" s="20" t="str">
        <f t="shared" si="3"/>
        <v/>
      </c>
    </row>
    <row r="245" ht="19.5" customHeight="1">
      <c r="A245" s="20" t="str">
        <f t="shared" si="3"/>
        <v/>
      </c>
    </row>
    <row r="246" ht="19.5" customHeight="1">
      <c r="A246" s="20" t="str">
        <f t="shared" si="3"/>
        <v/>
      </c>
    </row>
    <row r="247" ht="19.5" customHeight="1">
      <c r="A247" s="20" t="str">
        <f t="shared" si="3"/>
        <v/>
      </c>
    </row>
    <row r="248" ht="19.5" customHeight="1">
      <c r="A248" s="20" t="str">
        <f t="shared" si="3"/>
        <v/>
      </c>
    </row>
    <row r="249" ht="19.5" customHeight="1">
      <c r="A249" s="20" t="str">
        <f t="shared" si="3"/>
        <v/>
      </c>
    </row>
    <row r="250" ht="19.5" customHeight="1">
      <c r="A250" s="20" t="str">
        <f t="shared" si="3"/>
        <v/>
      </c>
    </row>
    <row r="251" ht="19.5" customHeight="1">
      <c r="A251" s="20" t="str">
        <f t="shared" si="3"/>
        <v/>
      </c>
    </row>
    <row r="252" ht="19.5" customHeight="1">
      <c r="A252" s="20" t="str">
        <f t="shared" si="3"/>
        <v/>
      </c>
    </row>
    <row r="253" ht="19.5" customHeight="1">
      <c r="A253" s="20" t="str">
        <f t="shared" si="3"/>
        <v/>
      </c>
    </row>
    <row r="254" ht="19.5" customHeight="1">
      <c r="A254" s="20" t="str">
        <f t="shared" si="3"/>
        <v/>
      </c>
    </row>
    <row r="255" ht="19.5" customHeight="1">
      <c r="A255" s="20" t="str">
        <f t="shared" si="3"/>
        <v/>
      </c>
    </row>
    <row r="256" ht="19.5" customHeight="1">
      <c r="A256" s="20" t="str">
        <f t="shared" si="3"/>
        <v/>
      </c>
    </row>
    <row r="257" ht="19.5" customHeight="1">
      <c r="A257" s="20" t="str">
        <f t="shared" si="3"/>
        <v/>
      </c>
    </row>
    <row r="258" ht="19.5" customHeight="1">
      <c r="A258" s="20" t="str">
        <f t="shared" si="3"/>
        <v/>
      </c>
    </row>
    <row r="259" ht="19.5" customHeight="1">
      <c r="A259" s="20" t="str">
        <f t="shared" si="3"/>
        <v/>
      </c>
    </row>
    <row r="260" ht="19.5" customHeight="1">
      <c r="A260" s="20" t="str">
        <f t="shared" si="3"/>
        <v/>
      </c>
    </row>
    <row r="261" ht="19.5" customHeight="1">
      <c r="A261" s="20" t="str">
        <f t="shared" si="3"/>
        <v/>
      </c>
    </row>
    <row r="262" ht="19.5" customHeight="1">
      <c r="A262" s="20" t="str">
        <f t="shared" si="3"/>
        <v/>
      </c>
    </row>
    <row r="263" ht="19.5" customHeight="1">
      <c r="A263" s="20" t="str">
        <f t="shared" si="3"/>
        <v/>
      </c>
    </row>
    <row r="264" ht="19.5" customHeight="1">
      <c r="A264" s="20" t="str">
        <f t="shared" si="3"/>
        <v/>
      </c>
    </row>
    <row r="265" ht="19.5" customHeight="1">
      <c r="A265" s="20" t="str">
        <f t="shared" si="3"/>
        <v/>
      </c>
    </row>
    <row r="266" ht="19.5" customHeight="1">
      <c r="A266" s="20" t="str">
        <f t="shared" si="3"/>
        <v/>
      </c>
    </row>
    <row r="267" ht="19.5" customHeight="1">
      <c r="A267" s="20" t="str">
        <f t="shared" si="3"/>
        <v/>
      </c>
    </row>
    <row r="268" ht="19.5" customHeight="1">
      <c r="A268" s="20" t="str">
        <f t="shared" si="3"/>
        <v/>
      </c>
    </row>
    <row r="269" ht="19.5" customHeight="1">
      <c r="A269" s="20" t="str">
        <f t="shared" si="3"/>
        <v/>
      </c>
    </row>
    <row r="270" ht="19.5" customHeight="1">
      <c r="A270" s="20" t="str">
        <f t="shared" si="3"/>
        <v/>
      </c>
    </row>
    <row r="271" ht="19.5" customHeight="1">
      <c r="A271" s="20" t="str">
        <f t="shared" si="3"/>
        <v/>
      </c>
    </row>
    <row r="272" ht="19.5" customHeight="1">
      <c r="A272" s="20" t="str">
        <f t="shared" si="3"/>
        <v/>
      </c>
    </row>
    <row r="273" ht="19.5" customHeight="1">
      <c r="A273" s="20" t="str">
        <f t="shared" si="3"/>
        <v/>
      </c>
    </row>
    <row r="274" ht="19.5" customHeight="1">
      <c r="A274" s="20" t="str">
        <f t="shared" si="3"/>
        <v/>
      </c>
    </row>
    <row r="275" ht="19.5" customHeight="1">
      <c r="A275" s="20" t="str">
        <f t="shared" si="3"/>
        <v/>
      </c>
    </row>
    <row r="276" ht="19.5" customHeight="1">
      <c r="A276" s="20" t="str">
        <f t="shared" si="3"/>
        <v/>
      </c>
    </row>
    <row r="277" ht="19.5" customHeight="1">
      <c r="A277" s="20" t="str">
        <f t="shared" si="3"/>
        <v/>
      </c>
    </row>
    <row r="278" ht="19.5" customHeight="1">
      <c r="A278" s="20" t="str">
        <f t="shared" si="3"/>
        <v/>
      </c>
    </row>
    <row r="279" ht="19.5" customHeight="1">
      <c r="A279" s="20" t="str">
        <f t="shared" si="3"/>
        <v/>
      </c>
    </row>
    <row r="280" ht="19.5" customHeight="1">
      <c r="A280" s="20" t="str">
        <f t="shared" si="3"/>
        <v/>
      </c>
    </row>
    <row r="281" ht="19.5" customHeight="1">
      <c r="A281" s="20" t="str">
        <f t="shared" si="3"/>
        <v/>
      </c>
    </row>
    <row r="282" ht="19.5" customHeight="1">
      <c r="A282" s="20" t="str">
        <f t="shared" si="3"/>
        <v/>
      </c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  <row r="1006" ht="19.5" customHeight="1">
      <c r="A1006" s="28"/>
    </row>
    <row r="1007" ht="19.5" customHeight="1">
      <c r="A1007" s="28"/>
    </row>
    <row r="1008" ht="19.5" customHeight="1">
      <c r="A1008" s="28"/>
    </row>
    <row r="1009" ht="19.5" customHeight="1">
      <c r="A1009" s="28"/>
    </row>
    <row r="1010" ht="19.5" customHeight="1">
      <c r="A1010" s="28"/>
    </row>
  </sheetData>
  <mergeCells count="1">
    <mergeCell ref="E1:U1"/>
  </mergeCells>
  <dataValidations>
    <dataValidation type="list" allowBlank="1" showErrorMessage="1" sqref="E4:AI18 AH19:AI19">
      <formula1>"Present,Off,Half Day,Left"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 t="s">
        <v>79</v>
      </c>
      <c r="C1" s="5"/>
      <c r="D1" s="6">
        <f>day(EOMONTH(T2,0))</f>
        <v>30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45962.0</v>
      </c>
      <c r="F2" s="12">
        <f t="shared" ref="F2:AI2" si="1">IF(MONTH(E2+1)=MONTH(EOMONTH($E$2,0)),E2+1,"")</f>
        <v>45963</v>
      </c>
      <c r="G2" s="12">
        <f t="shared" si="1"/>
        <v>45964</v>
      </c>
      <c r="H2" s="12">
        <f t="shared" si="1"/>
        <v>45965</v>
      </c>
      <c r="I2" s="12">
        <f t="shared" si="1"/>
        <v>45966</v>
      </c>
      <c r="J2" s="12">
        <f t="shared" si="1"/>
        <v>45967</v>
      </c>
      <c r="K2" s="12">
        <f t="shared" si="1"/>
        <v>45968</v>
      </c>
      <c r="L2" s="12">
        <f t="shared" si="1"/>
        <v>45969</v>
      </c>
      <c r="M2" s="12">
        <f t="shared" si="1"/>
        <v>45970</v>
      </c>
      <c r="N2" s="12">
        <f t="shared" si="1"/>
        <v>45971</v>
      </c>
      <c r="O2" s="12">
        <f t="shared" si="1"/>
        <v>45972</v>
      </c>
      <c r="P2" s="12">
        <f t="shared" si="1"/>
        <v>45973</v>
      </c>
      <c r="Q2" s="12">
        <f t="shared" si="1"/>
        <v>45974</v>
      </c>
      <c r="R2" s="12">
        <f t="shared" si="1"/>
        <v>45975</v>
      </c>
      <c r="S2" s="12">
        <f t="shared" si="1"/>
        <v>45976</v>
      </c>
      <c r="T2" s="12">
        <f t="shared" si="1"/>
        <v>45977</v>
      </c>
      <c r="U2" s="12">
        <f t="shared" si="1"/>
        <v>45978</v>
      </c>
      <c r="V2" s="12">
        <f t="shared" si="1"/>
        <v>45979</v>
      </c>
      <c r="W2" s="12">
        <f t="shared" si="1"/>
        <v>45980</v>
      </c>
      <c r="X2" s="12">
        <f t="shared" si="1"/>
        <v>45981</v>
      </c>
      <c r="Y2" s="12">
        <f t="shared" si="1"/>
        <v>45982</v>
      </c>
      <c r="Z2" s="12">
        <f t="shared" si="1"/>
        <v>45983</v>
      </c>
      <c r="AA2" s="12">
        <f t="shared" si="1"/>
        <v>45984</v>
      </c>
      <c r="AB2" s="12">
        <f t="shared" si="1"/>
        <v>45985</v>
      </c>
      <c r="AC2" s="12">
        <f t="shared" si="1"/>
        <v>45986</v>
      </c>
      <c r="AD2" s="12">
        <f t="shared" si="1"/>
        <v>45987</v>
      </c>
      <c r="AE2" s="12">
        <f t="shared" si="1"/>
        <v>45988</v>
      </c>
      <c r="AF2" s="12">
        <f t="shared" si="1"/>
        <v>45989</v>
      </c>
      <c r="AG2" s="12">
        <f t="shared" si="1"/>
        <v>45990</v>
      </c>
      <c r="AH2" s="12">
        <f t="shared" si="1"/>
        <v>45991</v>
      </c>
      <c r="AI2" s="12" t="str">
        <f t="shared" si="1"/>
        <v/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45962</v>
      </c>
      <c r="F3" s="17">
        <f t="shared" si="2"/>
        <v>45963</v>
      </c>
      <c r="G3" s="17">
        <f t="shared" si="2"/>
        <v>45964</v>
      </c>
      <c r="H3" s="17">
        <f t="shared" si="2"/>
        <v>45965</v>
      </c>
      <c r="I3" s="17">
        <f t="shared" si="2"/>
        <v>45966</v>
      </c>
      <c r="J3" s="17">
        <f t="shared" si="2"/>
        <v>45967</v>
      </c>
      <c r="K3" s="17">
        <f t="shared" si="2"/>
        <v>45968</v>
      </c>
      <c r="L3" s="17">
        <f t="shared" si="2"/>
        <v>45969</v>
      </c>
      <c r="M3" s="17">
        <f t="shared" si="2"/>
        <v>45970</v>
      </c>
      <c r="N3" s="17">
        <f t="shared" si="2"/>
        <v>45971</v>
      </c>
      <c r="O3" s="17">
        <f t="shared" si="2"/>
        <v>45972</v>
      </c>
      <c r="P3" s="17">
        <f t="shared" si="2"/>
        <v>45973</v>
      </c>
      <c r="Q3" s="17">
        <f t="shared" si="2"/>
        <v>45974</v>
      </c>
      <c r="R3" s="17">
        <f t="shared" si="2"/>
        <v>45975</v>
      </c>
      <c r="S3" s="17">
        <f t="shared" si="2"/>
        <v>45976</v>
      </c>
      <c r="T3" s="17">
        <f t="shared" si="2"/>
        <v>45977</v>
      </c>
      <c r="U3" s="17">
        <f t="shared" si="2"/>
        <v>45978</v>
      </c>
      <c r="V3" s="17">
        <f t="shared" si="2"/>
        <v>45979</v>
      </c>
      <c r="W3" s="17">
        <f t="shared" si="2"/>
        <v>45980</v>
      </c>
      <c r="X3" s="17">
        <f t="shared" si="2"/>
        <v>45981</v>
      </c>
      <c r="Y3" s="17">
        <f t="shared" si="2"/>
        <v>45982</v>
      </c>
      <c r="Z3" s="17">
        <f t="shared" si="2"/>
        <v>45983</v>
      </c>
      <c r="AA3" s="17">
        <f t="shared" si="2"/>
        <v>45984</v>
      </c>
      <c r="AB3" s="17">
        <f t="shared" si="2"/>
        <v>45985</v>
      </c>
      <c r="AC3" s="17">
        <f t="shared" si="2"/>
        <v>45986</v>
      </c>
      <c r="AD3" s="17">
        <f t="shared" si="2"/>
        <v>45987</v>
      </c>
      <c r="AE3" s="17">
        <f t="shared" si="2"/>
        <v>45988</v>
      </c>
      <c r="AF3" s="17">
        <f t="shared" si="2"/>
        <v>45989</v>
      </c>
      <c r="AG3" s="17">
        <f t="shared" si="2"/>
        <v>45990</v>
      </c>
      <c r="AH3" s="17">
        <f t="shared" si="2"/>
        <v>45991</v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8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85" t="s">
        <v>13</v>
      </c>
      <c r="G4" s="85" t="s">
        <v>13</v>
      </c>
      <c r="H4" s="85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23" t="s">
        <v>13</v>
      </c>
      <c r="P4" s="67" t="s">
        <v>13</v>
      </c>
      <c r="Q4" s="67" t="s">
        <v>13</v>
      </c>
      <c r="R4" s="23" t="s">
        <v>13</v>
      </c>
      <c r="S4" s="23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/>
      <c r="AJ4" s="24">
        <f t="shared" ref="AJ4:AJ18" si="4">if(countif($E4:$AI4,AJ$3)&gt;day(EOMONTH($T$2,0)),"Error",countif($E4:$AI4,AJ$3))</f>
        <v>30</v>
      </c>
      <c r="AK4" s="24">
        <f t="shared" ref="AK4:AK18" si="5">countif($E4:$AI4,AK$3)+(sum(AL4)/2)</f>
        <v>0</v>
      </c>
      <c r="AL4" s="24">
        <f t="shared" ref="AL4:AL18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32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67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67" t="s">
        <v>13</v>
      </c>
      <c r="R5" s="23" t="s">
        <v>13</v>
      </c>
      <c r="S5" s="23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/>
      <c r="AJ5" s="24">
        <f t="shared" si="4"/>
        <v>30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32</v>
      </c>
      <c r="AN5" s="70"/>
      <c r="AO5" s="71"/>
    </row>
    <row r="6" ht="19.5" customHeight="1">
      <c r="A6" s="20" t="str">
        <f t="shared" si="3"/>
        <v>DanishCombiIndian</v>
      </c>
      <c r="B6" s="21" t="s">
        <v>43</v>
      </c>
      <c r="C6" s="22" t="s">
        <v>29</v>
      </c>
      <c r="D6" s="22" t="s">
        <v>33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67" t="s">
        <v>13</v>
      </c>
      <c r="R6" s="23" t="s">
        <v>13</v>
      </c>
      <c r="S6" s="23" t="s">
        <v>13</v>
      </c>
      <c r="T6" s="23" t="s">
        <v>13</v>
      </c>
      <c r="U6" s="23" t="s">
        <v>20</v>
      </c>
      <c r="V6" s="23" t="s">
        <v>13</v>
      </c>
      <c r="W6" s="34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20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3"/>
      <c r="AJ6" s="24">
        <f t="shared" si="4"/>
        <v>28</v>
      </c>
      <c r="AK6" s="24">
        <f t="shared" si="5"/>
        <v>2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30</v>
      </c>
      <c r="AN6" s="70"/>
      <c r="AO6" s="87"/>
    </row>
    <row r="7" ht="19.5" customHeight="1">
      <c r="A7" s="20" t="str">
        <f t="shared" si="3"/>
        <v>IrfanChefChinese</v>
      </c>
      <c r="B7" s="21" t="s">
        <v>44</v>
      </c>
      <c r="C7" s="22" t="s">
        <v>18</v>
      </c>
      <c r="D7" s="22" t="s">
        <v>40</v>
      </c>
      <c r="E7" s="67" t="s">
        <v>13</v>
      </c>
      <c r="F7" s="67" t="s">
        <v>13</v>
      </c>
      <c r="G7" s="67" t="s">
        <v>13</v>
      </c>
      <c r="H7" s="67" t="s">
        <v>13</v>
      </c>
      <c r="I7" s="67" t="s">
        <v>34</v>
      </c>
      <c r="J7" s="67" t="s">
        <v>20</v>
      </c>
      <c r="K7" s="67" t="s">
        <v>34</v>
      </c>
      <c r="L7" s="23" t="s">
        <v>13</v>
      </c>
      <c r="M7" s="23" t="s">
        <v>13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34" t="s">
        <v>13</v>
      </c>
      <c r="X7" s="23" t="s">
        <v>13</v>
      </c>
      <c r="Y7" s="23" t="s">
        <v>13</v>
      </c>
      <c r="Z7" s="23" t="s">
        <v>13</v>
      </c>
      <c r="AA7" s="67" t="s">
        <v>13</v>
      </c>
      <c r="AB7" s="67" t="s">
        <v>13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/>
      <c r="AJ7" s="24">
        <f t="shared" si="4"/>
        <v>27</v>
      </c>
      <c r="AK7" s="24">
        <f t="shared" si="5"/>
        <v>2</v>
      </c>
      <c r="AL7" s="24">
        <f t="shared" si="6"/>
        <v>2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30</v>
      </c>
      <c r="AN7" s="69"/>
      <c r="AO7" s="71"/>
    </row>
    <row r="8" ht="19.5" customHeight="1">
      <c r="A8" s="20" t="str">
        <f t="shared" si="3"/>
        <v>WakilHelperTandoor</v>
      </c>
      <c r="B8" s="21" t="s">
        <v>24</v>
      </c>
      <c r="C8" s="20" t="s">
        <v>15</v>
      </c>
      <c r="D8" s="20" t="s">
        <v>19</v>
      </c>
      <c r="E8" s="23" t="s">
        <v>13</v>
      </c>
      <c r="F8" s="23" t="s">
        <v>13</v>
      </c>
      <c r="G8" s="23" t="s">
        <v>20</v>
      </c>
      <c r="H8" s="23" t="s">
        <v>13</v>
      </c>
      <c r="I8" s="23" t="s">
        <v>13</v>
      </c>
      <c r="J8" s="23" t="s">
        <v>13</v>
      </c>
      <c r="K8" s="23" t="s">
        <v>13</v>
      </c>
      <c r="L8" s="23" t="s">
        <v>13</v>
      </c>
      <c r="M8" s="23" t="s">
        <v>13</v>
      </c>
      <c r="N8" s="23" t="s">
        <v>13</v>
      </c>
      <c r="O8" s="23" t="s">
        <v>34</v>
      </c>
      <c r="P8" s="23" t="s">
        <v>13</v>
      </c>
      <c r="Q8" s="23" t="s">
        <v>34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/>
      <c r="AJ8" s="24">
        <f t="shared" si="4"/>
        <v>27</v>
      </c>
      <c r="AK8" s="24">
        <f t="shared" si="5"/>
        <v>2</v>
      </c>
      <c r="AL8" s="24">
        <f t="shared" si="6"/>
        <v>2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30</v>
      </c>
      <c r="AN8" s="70"/>
      <c r="AO8" s="68"/>
    </row>
    <row r="9" ht="19.5" customHeight="1">
      <c r="A9" s="20" t="str">
        <f t="shared" si="3"/>
        <v>SuhailWaiterService</v>
      </c>
      <c r="B9" s="21" t="s">
        <v>21</v>
      </c>
      <c r="C9" s="20" t="s">
        <v>22</v>
      </c>
      <c r="D9" s="20" t="s">
        <v>12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23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34</v>
      </c>
      <c r="AC9" s="23" t="s">
        <v>34</v>
      </c>
      <c r="AD9" s="23" t="s">
        <v>13</v>
      </c>
      <c r="AE9" s="23" t="s">
        <v>20</v>
      </c>
      <c r="AF9" s="23" t="s">
        <v>13</v>
      </c>
      <c r="AG9" s="23" t="s">
        <v>13</v>
      </c>
      <c r="AH9" s="23" t="s">
        <v>13</v>
      </c>
      <c r="AI9" s="23"/>
      <c r="AJ9" s="24">
        <f t="shared" si="4"/>
        <v>27</v>
      </c>
      <c r="AK9" s="24">
        <f t="shared" si="5"/>
        <v>2</v>
      </c>
      <c r="AL9" s="24">
        <f t="shared" si="6"/>
        <v>2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30</v>
      </c>
      <c r="AN9" s="69"/>
      <c r="AO9" s="68"/>
    </row>
    <row r="10" ht="19.5" customHeight="1">
      <c r="A10" s="20" t="str">
        <f t="shared" si="3"/>
        <v>HasimHelperMori</v>
      </c>
      <c r="B10" s="21" t="s">
        <v>69</v>
      </c>
      <c r="C10" s="20" t="s">
        <v>15</v>
      </c>
      <c r="D10" s="20" t="s">
        <v>16</v>
      </c>
      <c r="E10" s="23" t="s">
        <v>13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34</v>
      </c>
      <c r="R10" s="23" t="s">
        <v>13</v>
      </c>
      <c r="S10" s="23" t="s">
        <v>13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34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20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/>
      <c r="AJ10" s="24">
        <f t="shared" si="4"/>
        <v>27</v>
      </c>
      <c r="AK10" s="24">
        <f t="shared" si="5"/>
        <v>2</v>
      </c>
      <c r="AL10" s="24">
        <f t="shared" si="6"/>
        <v>2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30</v>
      </c>
      <c r="AN10" s="69"/>
      <c r="AO10" s="68"/>
    </row>
    <row r="11" ht="19.5" customHeight="1">
      <c r="A11" s="20" t="str">
        <f t="shared" si="3"/>
        <v>Sajid NooriHead ChefIndian</v>
      </c>
      <c r="B11" s="21" t="s">
        <v>71</v>
      </c>
      <c r="C11" s="20" t="s">
        <v>72</v>
      </c>
      <c r="D11" s="20" t="s">
        <v>33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23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/>
      <c r="AJ11" s="24">
        <f t="shared" si="4"/>
        <v>30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32</v>
      </c>
      <c r="AN11" s="69"/>
      <c r="AO11" s="68"/>
    </row>
    <row r="12" ht="19.5" customHeight="1">
      <c r="A12" s="20" t="str">
        <f t="shared" si="3"/>
        <v>NaseemSupervisorSupervisor</v>
      </c>
      <c r="B12" s="81" t="s">
        <v>26</v>
      </c>
      <c r="C12" s="81" t="s">
        <v>27</v>
      </c>
      <c r="D12" s="81" t="s">
        <v>27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23" t="s">
        <v>13</v>
      </c>
      <c r="Q12" s="23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/>
      <c r="AJ12" s="24">
        <f t="shared" si="4"/>
        <v>30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32</v>
      </c>
      <c r="AN12" s="69"/>
      <c r="AO12" s="68"/>
    </row>
    <row r="13" ht="19.5" customHeight="1">
      <c r="A13" s="20" t="str">
        <f t="shared" si="3"/>
        <v>DineshWaiterService</v>
      </c>
      <c r="B13" s="81" t="s">
        <v>80</v>
      </c>
      <c r="C13" s="81" t="s">
        <v>22</v>
      </c>
      <c r="D13" s="81" t="s">
        <v>12</v>
      </c>
      <c r="E13" s="23" t="s">
        <v>38</v>
      </c>
      <c r="F13" s="23" t="s">
        <v>38</v>
      </c>
      <c r="G13" s="23" t="s">
        <v>38</v>
      </c>
      <c r="H13" s="23" t="s">
        <v>38</v>
      </c>
      <c r="I13" s="23" t="s">
        <v>38</v>
      </c>
      <c r="J13" s="23" t="s">
        <v>38</v>
      </c>
      <c r="K13" s="23" t="s">
        <v>38</v>
      </c>
      <c r="L13" s="23" t="s">
        <v>38</v>
      </c>
      <c r="M13" s="23" t="s">
        <v>38</v>
      </c>
      <c r="N13" s="23" t="s">
        <v>38</v>
      </c>
      <c r="O13" s="23" t="s">
        <v>38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/>
      <c r="AJ13" s="24">
        <f t="shared" si="4"/>
        <v>19</v>
      </c>
      <c r="AK13" s="24">
        <f t="shared" si="5"/>
        <v>0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20</v>
      </c>
      <c r="AN13" s="70"/>
      <c r="AO13" s="68"/>
    </row>
    <row r="14" ht="19.5" customHeight="1">
      <c r="A14" s="20" t="str">
        <f t="shared" si="3"/>
        <v>RajuWaiterService</v>
      </c>
      <c r="B14" s="81" t="s">
        <v>74</v>
      </c>
      <c r="C14" s="81" t="s">
        <v>22</v>
      </c>
      <c r="D14" s="81" t="s">
        <v>12</v>
      </c>
      <c r="E14" s="23" t="s">
        <v>13</v>
      </c>
      <c r="F14" s="23" t="s">
        <v>13</v>
      </c>
      <c r="G14" s="23" t="s">
        <v>13</v>
      </c>
      <c r="H14" s="23" t="s">
        <v>13</v>
      </c>
      <c r="I14" s="23" t="s">
        <v>13</v>
      </c>
      <c r="J14" s="23" t="s">
        <v>13</v>
      </c>
      <c r="K14" s="23" t="s">
        <v>13</v>
      </c>
      <c r="L14" s="23" t="s">
        <v>20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34</v>
      </c>
      <c r="R14" s="23" t="s">
        <v>13</v>
      </c>
      <c r="S14" s="23" t="s">
        <v>13</v>
      </c>
      <c r="T14" s="23" t="s">
        <v>13</v>
      </c>
      <c r="U14" s="23" t="s">
        <v>34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/>
      <c r="AJ14" s="24">
        <f t="shared" si="4"/>
        <v>27</v>
      </c>
      <c r="AK14" s="24">
        <f t="shared" si="5"/>
        <v>2</v>
      </c>
      <c r="AL14" s="24">
        <f t="shared" si="6"/>
        <v>2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30</v>
      </c>
      <c r="AN14" s="69"/>
      <c r="AO14" s="68"/>
    </row>
    <row r="15" ht="19.5" customHeight="1">
      <c r="A15" s="20" t="str">
        <f t="shared" si="3"/>
        <v>AasifChefIndian</v>
      </c>
      <c r="B15" s="81" t="s">
        <v>32</v>
      </c>
      <c r="C15" s="81" t="s">
        <v>18</v>
      </c>
      <c r="D15" s="81" t="s">
        <v>33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23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/>
      <c r="AJ15" s="24">
        <f t="shared" si="4"/>
        <v>30</v>
      </c>
      <c r="AK15" s="24">
        <f t="shared" si="5"/>
        <v>0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32</v>
      </c>
      <c r="AN15" s="70">
        <v>1000.0</v>
      </c>
      <c r="AO15" s="68"/>
    </row>
    <row r="16" ht="19.5" customHeight="1">
      <c r="A16" s="20" t="str">
        <f t="shared" si="3"/>
        <v>NoorHelperIndian</v>
      </c>
      <c r="B16" s="81" t="s">
        <v>77</v>
      </c>
      <c r="C16" s="81" t="s">
        <v>15</v>
      </c>
      <c r="D16" s="81" t="s">
        <v>33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23" t="s">
        <v>13</v>
      </c>
      <c r="L16" s="23" t="s">
        <v>13</v>
      </c>
      <c r="M16" s="23" t="s">
        <v>13</v>
      </c>
      <c r="N16" s="23" t="s">
        <v>13</v>
      </c>
      <c r="O16" s="23" t="s">
        <v>34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20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34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/>
      <c r="AJ16" s="24">
        <f t="shared" si="4"/>
        <v>27</v>
      </c>
      <c r="AK16" s="24">
        <f t="shared" si="5"/>
        <v>2</v>
      </c>
      <c r="AL16" s="24">
        <f t="shared" si="6"/>
        <v>2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30</v>
      </c>
      <c r="AN16" s="69"/>
      <c r="AO16" s="68"/>
    </row>
    <row r="17" ht="19.5" customHeight="1">
      <c r="A17" s="20" t="str">
        <f t="shared" si="3"/>
        <v>ManoharWaiterService</v>
      </c>
      <c r="B17" s="81" t="s">
        <v>78</v>
      </c>
      <c r="C17" s="81" t="s">
        <v>22</v>
      </c>
      <c r="D17" s="81" t="s">
        <v>12</v>
      </c>
      <c r="E17" s="23" t="s">
        <v>13</v>
      </c>
      <c r="F17" s="23" t="s">
        <v>13</v>
      </c>
      <c r="G17" s="23" t="s">
        <v>13</v>
      </c>
      <c r="H17" s="23" t="s">
        <v>13</v>
      </c>
      <c r="I17" s="23" t="s">
        <v>13</v>
      </c>
      <c r="J17" s="23" t="s">
        <v>13</v>
      </c>
      <c r="K17" s="23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20</v>
      </c>
      <c r="V17" s="23" t="s">
        <v>20</v>
      </c>
      <c r="W17" s="23" t="s">
        <v>20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20</v>
      </c>
      <c r="AH17" s="23" t="s">
        <v>20</v>
      </c>
      <c r="AI17" s="23"/>
      <c r="AJ17" s="24">
        <f t="shared" si="4"/>
        <v>25</v>
      </c>
      <c r="AK17" s="24">
        <f t="shared" si="5"/>
        <v>5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26</v>
      </c>
      <c r="AN17" s="69"/>
      <c r="AO17" s="68"/>
    </row>
    <row r="18" ht="19.5" customHeight="1">
      <c r="A18" s="20" t="str">
        <f t="shared" si="3"/>
        <v>VIjayChefTandoor</v>
      </c>
      <c r="B18" s="81" t="s">
        <v>81</v>
      </c>
      <c r="C18" s="81" t="s">
        <v>18</v>
      </c>
      <c r="D18" s="81" t="s">
        <v>19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 t="s">
        <v>13</v>
      </c>
      <c r="V18" s="23" t="s">
        <v>13</v>
      </c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/>
      <c r="AJ18" s="24">
        <f t="shared" si="4"/>
        <v>14</v>
      </c>
      <c r="AK18" s="24">
        <f t="shared" si="5"/>
        <v>0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15</v>
      </c>
      <c r="AN18" s="69"/>
      <c r="AO18" s="68"/>
    </row>
    <row r="19" ht="19.5" customHeight="1">
      <c r="A19" s="28"/>
    </row>
    <row r="20" ht="19.5" customHeight="1">
      <c r="A20" s="28"/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  <row r="1006" ht="19.5" customHeight="1">
      <c r="A1006" s="28"/>
    </row>
    <row r="1007" ht="19.5" customHeight="1">
      <c r="A1007" s="28"/>
    </row>
    <row r="1008" ht="19.5" customHeight="1">
      <c r="A1008" s="28"/>
    </row>
  </sheetData>
  <mergeCells count="1">
    <mergeCell ref="E1:U1"/>
  </mergeCells>
  <dataValidations>
    <dataValidation type="list" allowBlank="1" showErrorMessage="1" sqref="E4:AI18">
      <formula1>"Present,Off,Half Day,Left"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 t="s">
        <v>79</v>
      </c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45992.0</v>
      </c>
      <c r="F2" s="12">
        <f t="shared" ref="F2:AI2" si="1">IF(MONTH(E2+1)=MONTH(EOMONTH($E$2,0)),E2+1,"")</f>
        <v>45993</v>
      </c>
      <c r="G2" s="12">
        <f t="shared" si="1"/>
        <v>45994</v>
      </c>
      <c r="H2" s="12">
        <f t="shared" si="1"/>
        <v>45995</v>
      </c>
      <c r="I2" s="12">
        <f t="shared" si="1"/>
        <v>45996</v>
      </c>
      <c r="J2" s="12">
        <f t="shared" si="1"/>
        <v>45997</v>
      </c>
      <c r="K2" s="12">
        <f t="shared" si="1"/>
        <v>45998</v>
      </c>
      <c r="L2" s="12">
        <f t="shared" si="1"/>
        <v>45999</v>
      </c>
      <c r="M2" s="12">
        <f t="shared" si="1"/>
        <v>46000</v>
      </c>
      <c r="N2" s="12">
        <f t="shared" si="1"/>
        <v>46001</v>
      </c>
      <c r="O2" s="12">
        <f t="shared" si="1"/>
        <v>46002</v>
      </c>
      <c r="P2" s="12">
        <f t="shared" si="1"/>
        <v>46003</v>
      </c>
      <c r="Q2" s="12">
        <f t="shared" si="1"/>
        <v>46004</v>
      </c>
      <c r="R2" s="12">
        <f t="shared" si="1"/>
        <v>46005</v>
      </c>
      <c r="S2" s="12">
        <f t="shared" si="1"/>
        <v>46006</v>
      </c>
      <c r="T2" s="12">
        <f t="shared" si="1"/>
        <v>46007</v>
      </c>
      <c r="U2" s="12">
        <f t="shared" si="1"/>
        <v>46008</v>
      </c>
      <c r="V2" s="12">
        <f t="shared" si="1"/>
        <v>46009</v>
      </c>
      <c r="W2" s="12">
        <f t="shared" si="1"/>
        <v>46010</v>
      </c>
      <c r="X2" s="12">
        <f t="shared" si="1"/>
        <v>46011</v>
      </c>
      <c r="Y2" s="12">
        <f t="shared" si="1"/>
        <v>46012</v>
      </c>
      <c r="Z2" s="12">
        <f t="shared" si="1"/>
        <v>46013</v>
      </c>
      <c r="AA2" s="12">
        <f t="shared" si="1"/>
        <v>46014</v>
      </c>
      <c r="AB2" s="12">
        <f t="shared" si="1"/>
        <v>46015</v>
      </c>
      <c r="AC2" s="12">
        <f t="shared" si="1"/>
        <v>46016</v>
      </c>
      <c r="AD2" s="12">
        <f t="shared" si="1"/>
        <v>46017</v>
      </c>
      <c r="AE2" s="12">
        <f t="shared" si="1"/>
        <v>46018</v>
      </c>
      <c r="AF2" s="12">
        <f t="shared" si="1"/>
        <v>46019</v>
      </c>
      <c r="AG2" s="12">
        <f t="shared" si="1"/>
        <v>46020</v>
      </c>
      <c r="AH2" s="12">
        <f t="shared" si="1"/>
        <v>46021</v>
      </c>
      <c r="AI2" s="12">
        <f t="shared" si="1"/>
        <v>46022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45992</v>
      </c>
      <c r="F3" s="17">
        <f t="shared" si="2"/>
        <v>45993</v>
      </c>
      <c r="G3" s="17">
        <f t="shared" si="2"/>
        <v>45994</v>
      </c>
      <c r="H3" s="17">
        <f t="shared" si="2"/>
        <v>45995</v>
      </c>
      <c r="I3" s="17">
        <f t="shared" si="2"/>
        <v>45996</v>
      </c>
      <c r="J3" s="17">
        <f t="shared" si="2"/>
        <v>45997</v>
      </c>
      <c r="K3" s="17">
        <f t="shared" si="2"/>
        <v>45998</v>
      </c>
      <c r="L3" s="17">
        <f t="shared" si="2"/>
        <v>45999</v>
      </c>
      <c r="M3" s="17">
        <f t="shared" si="2"/>
        <v>46000</v>
      </c>
      <c r="N3" s="17">
        <f t="shared" si="2"/>
        <v>46001</v>
      </c>
      <c r="O3" s="17">
        <f t="shared" si="2"/>
        <v>46002</v>
      </c>
      <c r="P3" s="17">
        <f t="shared" si="2"/>
        <v>46003</v>
      </c>
      <c r="Q3" s="17">
        <f t="shared" si="2"/>
        <v>46004</v>
      </c>
      <c r="R3" s="17">
        <f t="shared" si="2"/>
        <v>46005</v>
      </c>
      <c r="S3" s="17">
        <f t="shared" si="2"/>
        <v>46006</v>
      </c>
      <c r="T3" s="17">
        <f t="shared" si="2"/>
        <v>46007</v>
      </c>
      <c r="U3" s="17">
        <f t="shared" si="2"/>
        <v>46008</v>
      </c>
      <c r="V3" s="17">
        <f t="shared" si="2"/>
        <v>46009</v>
      </c>
      <c r="W3" s="17">
        <f t="shared" si="2"/>
        <v>46010</v>
      </c>
      <c r="X3" s="17">
        <f t="shared" si="2"/>
        <v>46011</v>
      </c>
      <c r="Y3" s="17">
        <f t="shared" si="2"/>
        <v>46012</v>
      </c>
      <c r="Z3" s="17">
        <f t="shared" si="2"/>
        <v>46013</v>
      </c>
      <c r="AA3" s="17">
        <f t="shared" si="2"/>
        <v>46014</v>
      </c>
      <c r="AB3" s="17">
        <f t="shared" si="2"/>
        <v>46015</v>
      </c>
      <c r="AC3" s="17">
        <f t="shared" si="2"/>
        <v>46016</v>
      </c>
      <c r="AD3" s="17">
        <f t="shared" si="2"/>
        <v>46017</v>
      </c>
      <c r="AE3" s="17">
        <f t="shared" si="2"/>
        <v>46018</v>
      </c>
      <c r="AF3" s="17">
        <f t="shared" si="2"/>
        <v>46019</v>
      </c>
      <c r="AG3" s="17">
        <f t="shared" si="2"/>
        <v>46020</v>
      </c>
      <c r="AH3" s="17">
        <f t="shared" si="2"/>
        <v>46021</v>
      </c>
      <c r="AI3" s="17">
        <f t="shared" si="2"/>
        <v>46022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20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100" t="s">
        <v>13</v>
      </c>
      <c r="G4" s="85" t="s">
        <v>13</v>
      </c>
      <c r="H4" s="67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34" t="s">
        <v>13</v>
      </c>
      <c r="P4" s="67" t="s">
        <v>13</v>
      </c>
      <c r="Q4" s="101" t="s">
        <v>13</v>
      </c>
      <c r="R4" s="23" t="s">
        <v>13</v>
      </c>
      <c r="S4" s="34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19" si="4">if(countif($E4:$AI4,AJ$3)&gt;day(EOMONTH($T$2,0)),"Error",countif($E4:$AI4,AJ$3))</f>
        <v>31</v>
      </c>
      <c r="AK4" s="24">
        <f t="shared" ref="AK4:AK19" si="5">countif($E4:$AI4,AK$3)+(sum(AL4)/2)</f>
        <v>0</v>
      </c>
      <c r="AL4" s="24">
        <f t="shared" ref="AL4:AL19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85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101" t="s">
        <v>13</v>
      </c>
      <c r="R5" s="23" t="s">
        <v>13</v>
      </c>
      <c r="S5" s="34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/>
      <c r="AO5" s="71"/>
    </row>
    <row r="6" ht="19.5" customHeight="1">
      <c r="A6" s="20" t="str">
        <f t="shared" si="3"/>
        <v>DanishCombiIndian</v>
      </c>
      <c r="B6" s="21" t="s">
        <v>43</v>
      </c>
      <c r="C6" s="22" t="s">
        <v>29</v>
      </c>
      <c r="D6" s="22" t="s">
        <v>33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20</v>
      </c>
      <c r="M6" s="23" t="s">
        <v>13</v>
      </c>
      <c r="N6" s="23" t="s">
        <v>13</v>
      </c>
      <c r="O6" s="23" t="s">
        <v>13</v>
      </c>
      <c r="P6" s="67" t="s">
        <v>13</v>
      </c>
      <c r="Q6" s="101" t="s">
        <v>13</v>
      </c>
      <c r="R6" s="23" t="s">
        <v>13</v>
      </c>
      <c r="S6" s="23" t="s">
        <v>20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3" t="s">
        <v>13</v>
      </c>
      <c r="AJ6" s="24">
        <f t="shared" si="4"/>
        <v>29</v>
      </c>
      <c r="AK6" s="24">
        <f t="shared" si="5"/>
        <v>2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31</v>
      </c>
      <c r="AN6" s="70"/>
      <c r="AO6" s="87"/>
    </row>
    <row r="7" ht="19.5" customHeight="1">
      <c r="A7" s="20" t="str">
        <f t="shared" si="3"/>
        <v>IrfanChefChinese</v>
      </c>
      <c r="B7" s="21" t="s">
        <v>44</v>
      </c>
      <c r="C7" s="22" t="s">
        <v>18</v>
      </c>
      <c r="D7" s="22" t="s">
        <v>40</v>
      </c>
      <c r="E7" s="67" t="s">
        <v>13</v>
      </c>
      <c r="F7" s="67" t="s">
        <v>13</v>
      </c>
      <c r="G7" s="67" t="s">
        <v>34</v>
      </c>
      <c r="H7" s="67" t="s">
        <v>13</v>
      </c>
      <c r="I7" s="67" t="s">
        <v>13</v>
      </c>
      <c r="J7" s="67" t="s">
        <v>13</v>
      </c>
      <c r="K7" s="67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67" t="s">
        <v>13</v>
      </c>
      <c r="Q7" s="67" t="s">
        <v>13</v>
      </c>
      <c r="R7" s="23" t="s">
        <v>13</v>
      </c>
      <c r="S7" s="23" t="s">
        <v>13</v>
      </c>
      <c r="T7" s="23" t="s">
        <v>20</v>
      </c>
      <c r="U7" s="23" t="s">
        <v>13</v>
      </c>
      <c r="V7" s="23" t="s">
        <v>13</v>
      </c>
      <c r="W7" s="34" t="s">
        <v>13</v>
      </c>
      <c r="X7" s="23" t="s">
        <v>13</v>
      </c>
      <c r="Y7" s="23" t="s">
        <v>13</v>
      </c>
      <c r="Z7" s="23" t="s">
        <v>34</v>
      </c>
      <c r="AA7" s="67" t="s">
        <v>13</v>
      </c>
      <c r="AB7" s="67" t="s">
        <v>13</v>
      </c>
      <c r="AC7" s="67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4"/>
        <v>28</v>
      </c>
      <c r="AK7" s="24">
        <f t="shared" si="5"/>
        <v>2</v>
      </c>
      <c r="AL7" s="24">
        <f t="shared" si="6"/>
        <v>2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31</v>
      </c>
      <c r="AN7" s="69"/>
      <c r="AO7" s="71"/>
    </row>
    <row r="8" ht="19.5" customHeight="1">
      <c r="A8" s="20" t="str">
        <f t="shared" si="3"/>
        <v>WakilHelperTandoor</v>
      </c>
      <c r="B8" s="21" t="s">
        <v>24</v>
      </c>
      <c r="C8" s="20" t="s">
        <v>15</v>
      </c>
      <c r="D8" s="20" t="s">
        <v>19</v>
      </c>
      <c r="E8" s="23" t="s">
        <v>13</v>
      </c>
      <c r="F8" s="23" t="s">
        <v>20</v>
      </c>
      <c r="G8" s="23" t="s">
        <v>13</v>
      </c>
      <c r="H8" s="23" t="s">
        <v>13</v>
      </c>
      <c r="I8" s="23" t="s">
        <v>13</v>
      </c>
      <c r="J8" s="23" t="s">
        <v>13</v>
      </c>
      <c r="K8" s="67" t="s">
        <v>13</v>
      </c>
      <c r="L8" s="23" t="s">
        <v>20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29</v>
      </c>
      <c r="AK8" s="24">
        <f t="shared" si="5"/>
        <v>2</v>
      </c>
      <c r="AL8" s="24">
        <f t="shared" si="6"/>
        <v>0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31</v>
      </c>
      <c r="AN8" s="70"/>
      <c r="AO8" s="68"/>
    </row>
    <row r="9" ht="19.5" customHeight="1">
      <c r="A9" s="20" t="str">
        <f t="shared" si="3"/>
        <v>SuhailWaiterService</v>
      </c>
      <c r="B9" s="21" t="s">
        <v>21</v>
      </c>
      <c r="C9" s="20" t="s">
        <v>22</v>
      </c>
      <c r="D9" s="20" t="s">
        <v>12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20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20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4">
        <f t="shared" si="4"/>
        <v>29</v>
      </c>
      <c r="AK9" s="24">
        <f t="shared" si="5"/>
        <v>2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31</v>
      </c>
      <c r="AN9" s="69"/>
      <c r="AO9" s="68"/>
    </row>
    <row r="10" ht="19.5" customHeight="1">
      <c r="A10" s="20" t="str">
        <f t="shared" si="3"/>
        <v>HasimHelperMori</v>
      </c>
      <c r="B10" s="21" t="s">
        <v>69</v>
      </c>
      <c r="C10" s="20" t="s">
        <v>15</v>
      </c>
      <c r="D10" s="20" t="s">
        <v>16</v>
      </c>
      <c r="E10" s="23" t="s">
        <v>34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67" t="s">
        <v>13</v>
      </c>
      <c r="L10" s="23" t="s">
        <v>13</v>
      </c>
      <c r="M10" s="23" t="s">
        <v>13</v>
      </c>
      <c r="N10" s="23" t="s">
        <v>34</v>
      </c>
      <c r="O10" s="23" t="s">
        <v>13</v>
      </c>
      <c r="P10" s="23" t="s">
        <v>13</v>
      </c>
      <c r="Q10" s="23" t="s">
        <v>13</v>
      </c>
      <c r="R10" s="23" t="s">
        <v>13</v>
      </c>
      <c r="S10" s="23" t="s">
        <v>13</v>
      </c>
      <c r="T10" s="23" t="s">
        <v>20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13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 t="s">
        <v>13</v>
      </c>
      <c r="AJ10" s="24">
        <f t="shared" si="4"/>
        <v>28</v>
      </c>
      <c r="AK10" s="24">
        <f t="shared" si="5"/>
        <v>2</v>
      </c>
      <c r="AL10" s="24">
        <f t="shared" si="6"/>
        <v>2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31</v>
      </c>
      <c r="AN10" s="69"/>
      <c r="AO10" s="68"/>
    </row>
    <row r="11" ht="19.5" customHeight="1">
      <c r="A11" s="20" t="str">
        <f t="shared" si="3"/>
        <v>Sajid NooriHead ChefIndian</v>
      </c>
      <c r="B11" s="21" t="s">
        <v>71</v>
      </c>
      <c r="C11" s="20" t="s">
        <v>72</v>
      </c>
      <c r="D11" s="20" t="s">
        <v>33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67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13</v>
      </c>
      <c r="AE11" s="23" t="s">
        <v>13</v>
      </c>
      <c r="AF11" s="23" t="s">
        <v>13</v>
      </c>
      <c r="AG11" s="23" t="s">
        <v>13</v>
      </c>
      <c r="AH11" s="23" t="s">
        <v>13</v>
      </c>
      <c r="AI11" s="23" t="s">
        <v>13</v>
      </c>
      <c r="AJ11" s="24">
        <f t="shared" si="4"/>
        <v>31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33</v>
      </c>
      <c r="AN11" s="69"/>
      <c r="AO11" s="68"/>
    </row>
    <row r="12" ht="19.5" hidden="1" customHeight="1">
      <c r="A12" s="20" t="str">
        <f t="shared" si="3"/>
        <v/>
      </c>
      <c r="E12" s="23"/>
      <c r="F12" s="23"/>
      <c r="G12" s="23"/>
      <c r="H12" s="23"/>
      <c r="I12" s="23"/>
      <c r="J12" s="23"/>
      <c r="K12" s="67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4">
        <f t="shared" si="4"/>
        <v>0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0</v>
      </c>
      <c r="AN12" s="69"/>
      <c r="AO12" s="68"/>
      <c r="AP12" s="76"/>
    </row>
    <row r="13" ht="19.5" customHeight="1">
      <c r="A13" s="20" t="str">
        <f t="shared" si="3"/>
        <v>NaseemSupervisorSupervisor</v>
      </c>
      <c r="B13" s="81" t="s">
        <v>26</v>
      </c>
      <c r="C13" s="81" t="s">
        <v>27</v>
      </c>
      <c r="D13" s="81" t="s">
        <v>27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13</v>
      </c>
      <c r="J13" s="23" t="s">
        <v>13</v>
      </c>
      <c r="K13" s="67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 t="s">
        <v>13</v>
      </c>
      <c r="AJ13" s="24">
        <f t="shared" si="4"/>
        <v>31</v>
      </c>
      <c r="AK13" s="24">
        <f t="shared" si="5"/>
        <v>0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33</v>
      </c>
      <c r="AN13" s="69"/>
      <c r="AO13" s="68"/>
    </row>
    <row r="14" ht="19.5" customHeight="1">
      <c r="A14" s="20" t="str">
        <f t="shared" si="3"/>
        <v>DineshWaiterService</v>
      </c>
      <c r="B14" s="81" t="s">
        <v>80</v>
      </c>
      <c r="C14" s="81" t="s">
        <v>22</v>
      </c>
      <c r="D14" s="81" t="s">
        <v>12</v>
      </c>
      <c r="E14" s="23" t="s">
        <v>13</v>
      </c>
      <c r="F14" s="23" t="s">
        <v>13</v>
      </c>
      <c r="G14" s="23" t="s">
        <v>13</v>
      </c>
      <c r="H14" s="23" t="s">
        <v>20</v>
      </c>
      <c r="I14" s="23" t="s">
        <v>13</v>
      </c>
      <c r="J14" s="23" t="s">
        <v>13</v>
      </c>
      <c r="K14" s="67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20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 t="s">
        <v>13</v>
      </c>
      <c r="AJ14" s="24">
        <f t="shared" si="4"/>
        <v>29</v>
      </c>
      <c r="AK14" s="24">
        <f t="shared" si="5"/>
        <v>2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31</v>
      </c>
      <c r="AN14" s="70"/>
      <c r="AO14" s="68"/>
    </row>
    <row r="15" ht="19.5" customHeight="1">
      <c r="A15" s="20" t="str">
        <f t="shared" si="3"/>
        <v>RajuWaiterService</v>
      </c>
      <c r="B15" s="81" t="s">
        <v>74</v>
      </c>
      <c r="C15" s="81" t="s">
        <v>22</v>
      </c>
      <c r="D15" s="81" t="s">
        <v>12</v>
      </c>
      <c r="E15" s="23" t="s">
        <v>13</v>
      </c>
      <c r="F15" s="23" t="s">
        <v>13</v>
      </c>
      <c r="G15" s="23" t="s">
        <v>34</v>
      </c>
      <c r="H15" s="23" t="s">
        <v>34</v>
      </c>
      <c r="I15" s="23" t="s">
        <v>13</v>
      </c>
      <c r="J15" s="23" t="s">
        <v>13</v>
      </c>
      <c r="K15" s="67" t="s">
        <v>13</v>
      </c>
      <c r="L15" s="23" t="s">
        <v>13</v>
      </c>
      <c r="M15" s="23" t="s">
        <v>34</v>
      </c>
      <c r="N15" s="23" t="s">
        <v>13</v>
      </c>
      <c r="O15" s="23" t="s">
        <v>34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27</v>
      </c>
      <c r="AK15" s="24">
        <f t="shared" si="5"/>
        <v>2</v>
      </c>
      <c r="AL15" s="24">
        <f t="shared" si="6"/>
        <v>4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31</v>
      </c>
      <c r="AN15" s="69"/>
      <c r="AO15" s="68"/>
    </row>
    <row r="16" ht="19.5" customHeight="1">
      <c r="A16" s="20" t="str">
        <f t="shared" si="3"/>
        <v>AasifChefIndian</v>
      </c>
      <c r="B16" s="81" t="s">
        <v>32</v>
      </c>
      <c r="C16" s="81" t="s">
        <v>18</v>
      </c>
      <c r="D16" s="81" t="s">
        <v>33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13</v>
      </c>
      <c r="K16" s="67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13</v>
      </c>
      <c r="AJ16" s="24">
        <f t="shared" si="4"/>
        <v>31</v>
      </c>
      <c r="AK16" s="24">
        <f t="shared" si="5"/>
        <v>0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33</v>
      </c>
      <c r="AN16" s="70"/>
      <c r="AO16" s="68"/>
    </row>
    <row r="17" ht="19.5" customHeight="1">
      <c r="A17" s="20" t="str">
        <f t="shared" si="3"/>
        <v>NoorHelperIndian</v>
      </c>
      <c r="B17" s="81" t="s">
        <v>77</v>
      </c>
      <c r="C17" s="81" t="s">
        <v>15</v>
      </c>
      <c r="D17" s="81" t="s">
        <v>33</v>
      </c>
      <c r="E17" s="23" t="s">
        <v>13</v>
      </c>
      <c r="F17" s="23" t="s">
        <v>20</v>
      </c>
      <c r="G17" s="23" t="s">
        <v>13</v>
      </c>
      <c r="H17" s="23" t="s">
        <v>13</v>
      </c>
      <c r="I17" s="23" t="s">
        <v>13</v>
      </c>
      <c r="J17" s="23" t="s">
        <v>13</v>
      </c>
      <c r="K17" s="67" t="s">
        <v>13</v>
      </c>
      <c r="L17" s="23" t="s">
        <v>13</v>
      </c>
      <c r="M17" s="23" t="s">
        <v>34</v>
      </c>
      <c r="N17" s="23" t="s">
        <v>13</v>
      </c>
      <c r="O17" s="23" t="s">
        <v>34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28</v>
      </c>
      <c r="AK17" s="24">
        <f t="shared" si="5"/>
        <v>2</v>
      </c>
      <c r="AL17" s="24">
        <f t="shared" si="6"/>
        <v>2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31</v>
      </c>
      <c r="AN17" s="69"/>
      <c r="AO17" s="68"/>
    </row>
    <row r="18" ht="19.5" customHeight="1">
      <c r="A18" s="20" t="str">
        <f t="shared" si="3"/>
        <v>ManoharWaiterService</v>
      </c>
      <c r="B18" s="81" t="s">
        <v>78</v>
      </c>
      <c r="C18" s="81" t="s">
        <v>22</v>
      </c>
      <c r="D18" s="81" t="s">
        <v>12</v>
      </c>
      <c r="E18" s="23" t="s">
        <v>20</v>
      </c>
      <c r="F18" s="23" t="s">
        <v>20</v>
      </c>
      <c r="G18" s="23" t="s">
        <v>13</v>
      </c>
      <c r="H18" s="34" t="s">
        <v>13</v>
      </c>
      <c r="I18" s="23" t="s">
        <v>13</v>
      </c>
      <c r="J18" s="23" t="s">
        <v>13</v>
      </c>
      <c r="K18" s="67" t="s">
        <v>13</v>
      </c>
      <c r="L18" s="23" t="s">
        <v>13</v>
      </c>
      <c r="M18" s="23" t="s">
        <v>13</v>
      </c>
      <c r="N18" s="23" t="s">
        <v>13</v>
      </c>
      <c r="O18" s="23" t="s">
        <v>13</v>
      </c>
      <c r="P18" s="23" t="s">
        <v>13</v>
      </c>
      <c r="Q18" s="23" t="s">
        <v>13</v>
      </c>
      <c r="R18" s="23" t="s">
        <v>13</v>
      </c>
      <c r="S18" s="23" t="s">
        <v>13</v>
      </c>
      <c r="T18" s="23" t="s">
        <v>13</v>
      </c>
      <c r="U18" s="23" t="s">
        <v>13</v>
      </c>
      <c r="V18" s="23" t="s">
        <v>13</v>
      </c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 t="s">
        <v>13</v>
      </c>
      <c r="AJ18" s="24">
        <f t="shared" si="4"/>
        <v>29</v>
      </c>
      <c r="AK18" s="24">
        <f t="shared" si="5"/>
        <v>2</v>
      </c>
      <c r="AL18" s="24">
        <f t="shared" si="6"/>
        <v>0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31</v>
      </c>
      <c r="AN18" s="69"/>
      <c r="AO18" s="68"/>
    </row>
    <row r="19" ht="19.5" customHeight="1">
      <c r="A19" s="20" t="str">
        <f t="shared" si="3"/>
        <v>VIjayChefTandoor</v>
      </c>
      <c r="B19" s="81" t="s">
        <v>81</v>
      </c>
      <c r="C19" s="81" t="s">
        <v>18</v>
      </c>
      <c r="D19" s="81" t="s">
        <v>19</v>
      </c>
      <c r="E19" s="23" t="s">
        <v>13</v>
      </c>
      <c r="F19" s="23" t="s">
        <v>13</v>
      </c>
      <c r="G19" s="23" t="s">
        <v>13</v>
      </c>
      <c r="H19" s="34" t="s">
        <v>13</v>
      </c>
      <c r="I19" s="23" t="s">
        <v>13</v>
      </c>
      <c r="J19" s="23" t="s">
        <v>13</v>
      </c>
      <c r="K19" s="67" t="s">
        <v>13</v>
      </c>
      <c r="L19" s="23" t="s">
        <v>13</v>
      </c>
      <c r="M19" s="23" t="s">
        <v>13</v>
      </c>
      <c r="N19" s="23" t="s">
        <v>20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20</v>
      </c>
      <c r="U19" s="23" t="s">
        <v>13</v>
      </c>
      <c r="V19" s="23" t="s">
        <v>13</v>
      </c>
      <c r="W19" s="23" t="s">
        <v>13</v>
      </c>
      <c r="X19" s="23" t="s">
        <v>13</v>
      </c>
      <c r="Y19" s="23" t="s">
        <v>13</v>
      </c>
      <c r="Z19" s="23" t="s">
        <v>13</v>
      </c>
      <c r="AA19" s="23" t="s">
        <v>13</v>
      </c>
      <c r="AB19" s="23" t="s">
        <v>13</v>
      </c>
      <c r="AC19" s="23" t="s">
        <v>13</v>
      </c>
      <c r="AD19" s="23" t="s">
        <v>13</v>
      </c>
      <c r="AE19" s="23" t="s">
        <v>13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4"/>
        <v>29</v>
      </c>
      <c r="AK19" s="24">
        <f t="shared" si="5"/>
        <v>2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31</v>
      </c>
      <c r="AN19" s="69"/>
      <c r="AO19" s="68"/>
    </row>
    <row r="20" ht="19.5" customHeight="1">
      <c r="A20" s="20" t="str">
        <f t="shared" si="3"/>
        <v>AbhishekHelpermori</v>
      </c>
      <c r="B20" s="81" t="s">
        <v>82</v>
      </c>
      <c r="C20" s="81" t="s">
        <v>15</v>
      </c>
      <c r="D20" s="81" t="s">
        <v>50</v>
      </c>
      <c r="N20" s="23" t="s">
        <v>13</v>
      </c>
      <c r="O20" s="23" t="s">
        <v>13</v>
      </c>
      <c r="P20" s="23" t="s">
        <v>13</v>
      </c>
      <c r="Q20" s="23" t="s">
        <v>13</v>
      </c>
      <c r="R20" s="23" t="s">
        <v>13</v>
      </c>
      <c r="S20" s="23" t="s">
        <v>13</v>
      </c>
      <c r="T20" s="23" t="s">
        <v>38</v>
      </c>
      <c r="U20" s="23" t="s">
        <v>38</v>
      </c>
      <c r="V20" s="23" t="s">
        <v>38</v>
      </c>
      <c r="W20" s="23" t="s">
        <v>38</v>
      </c>
      <c r="X20" s="23" t="s">
        <v>38</v>
      </c>
      <c r="Y20" s="23" t="s">
        <v>38</v>
      </c>
      <c r="Z20" s="23" t="s">
        <v>38</v>
      </c>
      <c r="AA20" s="23" t="s">
        <v>38</v>
      </c>
      <c r="AB20" s="23" t="s">
        <v>38</v>
      </c>
      <c r="AC20" s="23" t="s">
        <v>38</v>
      </c>
      <c r="AD20" s="23" t="s">
        <v>38</v>
      </c>
      <c r="AE20" s="23" t="s">
        <v>38</v>
      </c>
      <c r="AF20" s="23" t="s">
        <v>38</v>
      </c>
      <c r="AG20" s="23" t="s">
        <v>38</v>
      </c>
      <c r="AH20" s="23" t="s">
        <v>38</v>
      </c>
      <c r="AI20" s="23" t="s">
        <v>38</v>
      </c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  <row r="1006" ht="19.5" customHeight="1">
      <c r="A1006" s="28"/>
    </row>
    <row r="1007" ht="19.5" customHeight="1">
      <c r="A1007" s="28"/>
    </row>
    <row r="1008" ht="19.5" customHeight="1">
      <c r="A1008" s="28"/>
    </row>
    <row r="1009" ht="19.5" customHeight="1">
      <c r="A1009" s="28"/>
    </row>
  </sheetData>
  <mergeCells count="1">
    <mergeCell ref="E1:U1"/>
  </mergeCells>
  <dataValidations>
    <dataValidation type="list" allowBlank="1" showErrorMessage="1" sqref="E4:AI19 N20:AI20">
      <formula1>"Present,Off,Half Day,Left"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 t="s">
        <v>79</v>
      </c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46023.0</v>
      </c>
      <c r="F2" s="12">
        <f t="shared" ref="F2:AI2" si="1">IF(MONTH(E2+1)=MONTH(EOMONTH($E$2,0)),E2+1,"")</f>
        <v>46024</v>
      </c>
      <c r="G2" s="12">
        <f t="shared" si="1"/>
        <v>46025</v>
      </c>
      <c r="H2" s="12">
        <f t="shared" si="1"/>
        <v>46026</v>
      </c>
      <c r="I2" s="12">
        <f t="shared" si="1"/>
        <v>46027</v>
      </c>
      <c r="J2" s="12">
        <f t="shared" si="1"/>
        <v>46028</v>
      </c>
      <c r="K2" s="12">
        <f t="shared" si="1"/>
        <v>46029</v>
      </c>
      <c r="L2" s="12">
        <f t="shared" si="1"/>
        <v>46030</v>
      </c>
      <c r="M2" s="12">
        <f t="shared" si="1"/>
        <v>46031</v>
      </c>
      <c r="N2" s="12">
        <f t="shared" si="1"/>
        <v>46032</v>
      </c>
      <c r="O2" s="12">
        <f t="shared" si="1"/>
        <v>46033</v>
      </c>
      <c r="P2" s="12">
        <f t="shared" si="1"/>
        <v>46034</v>
      </c>
      <c r="Q2" s="12">
        <f t="shared" si="1"/>
        <v>46035</v>
      </c>
      <c r="R2" s="12">
        <f t="shared" si="1"/>
        <v>46036</v>
      </c>
      <c r="S2" s="12">
        <f t="shared" si="1"/>
        <v>46037</v>
      </c>
      <c r="T2" s="12">
        <f t="shared" si="1"/>
        <v>46038</v>
      </c>
      <c r="U2" s="12">
        <f t="shared" si="1"/>
        <v>46039</v>
      </c>
      <c r="V2" s="12">
        <f t="shared" si="1"/>
        <v>46040</v>
      </c>
      <c r="W2" s="12">
        <f t="shared" si="1"/>
        <v>46041</v>
      </c>
      <c r="X2" s="12">
        <f t="shared" si="1"/>
        <v>46042</v>
      </c>
      <c r="Y2" s="12">
        <f t="shared" si="1"/>
        <v>46043</v>
      </c>
      <c r="Z2" s="12">
        <f t="shared" si="1"/>
        <v>46044</v>
      </c>
      <c r="AA2" s="12">
        <f t="shared" si="1"/>
        <v>46045</v>
      </c>
      <c r="AB2" s="12">
        <f t="shared" si="1"/>
        <v>46046</v>
      </c>
      <c r="AC2" s="12">
        <f t="shared" si="1"/>
        <v>46047</v>
      </c>
      <c r="AD2" s="12">
        <f t="shared" si="1"/>
        <v>46048</v>
      </c>
      <c r="AE2" s="12">
        <f t="shared" si="1"/>
        <v>46049</v>
      </c>
      <c r="AF2" s="12">
        <f t="shared" si="1"/>
        <v>46050</v>
      </c>
      <c r="AG2" s="12">
        <f t="shared" si="1"/>
        <v>46051</v>
      </c>
      <c r="AH2" s="12">
        <f t="shared" si="1"/>
        <v>46052</v>
      </c>
      <c r="AI2" s="12">
        <f t="shared" si="1"/>
        <v>46053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46023</v>
      </c>
      <c r="F3" s="17">
        <f t="shared" si="2"/>
        <v>46024</v>
      </c>
      <c r="G3" s="17">
        <f t="shared" si="2"/>
        <v>46025</v>
      </c>
      <c r="H3" s="17">
        <f t="shared" si="2"/>
        <v>46026</v>
      </c>
      <c r="I3" s="17">
        <f t="shared" si="2"/>
        <v>46027</v>
      </c>
      <c r="J3" s="17">
        <f t="shared" si="2"/>
        <v>46028</v>
      </c>
      <c r="K3" s="17">
        <f t="shared" si="2"/>
        <v>46029</v>
      </c>
      <c r="L3" s="17">
        <f t="shared" si="2"/>
        <v>46030</v>
      </c>
      <c r="M3" s="17">
        <f t="shared" si="2"/>
        <v>46031</v>
      </c>
      <c r="N3" s="17">
        <f t="shared" si="2"/>
        <v>46032</v>
      </c>
      <c r="O3" s="17">
        <f t="shared" si="2"/>
        <v>46033</v>
      </c>
      <c r="P3" s="17">
        <f t="shared" si="2"/>
        <v>46034</v>
      </c>
      <c r="Q3" s="17">
        <f t="shared" si="2"/>
        <v>46035</v>
      </c>
      <c r="R3" s="17">
        <f t="shared" si="2"/>
        <v>46036</v>
      </c>
      <c r="S3" s="17">
        <f t="shared" si="2"/>
        <v>46037</v>
      </c>
      <c r="T3" s="17">
        <f t="shared" si="2"/>
        <v>46038</v>
      </c>
      <c r="U3" s="17">
        <f t="shared" si="2"/>
        <v>46039</v>
      </c>
      <c r="V3" s="17">
        <f t="shared" si="2"/>
        <v>46040</v>
      </c>
      <c r="W3" s="17">
        <f t="shared" si="2"/>
        <v>46041</v>
      </c>
      <c r="X3" s="17">
        <f t="shared" si="2"/>
        <v>46042</v>
      </c>
      <c r="Y3" s="17">
        <f t="shared" si="2"/>
        <v>46043</v>
      </c>
      <c r="Z3" s="17">
        <f t="shared" si="2"/>
        <v>46044</v>
      </c>
      <c r="AA3" s="17">
        <f t="shared" si="2"/>
        <v>46045</v>
      </c>
      <c r="AB3" s="17">
        <f t="shared" si="2"/>
        <v>46046</v>
      </c>
      <c r="AC3" s="17">
        <f t="shared" si="2"/>
        <v>46047</v>
      </c>
      <c r="AD3" s="17">
        <f t="shared" si="2"/>
        <v>46048</v>
      </c>
      <c r="AE3" s="17">
        <f t="shared" si="2"/>
        <v>46049</v>
      </c>
      <c r="AF3" s="17">
        <f t="shared" si="2"/>
        <v>46050</v>
      </c>
      <c r="AG3" s="17">
        <f t="shared" si="2"/>
        <v>46051</v>
      </c>
      <c r="AH3" s="17">
        <f t="shared" si="2"/>
        <v>46052</v>
      </c>
      <c r="AI3" s="17">
        <f t="shared" si="2"/>
        <v>46053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9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100" t="s">
        <v>13</v>
      </c>
      <c r="G4" s="85" t="s">
        <v>13</v>
      </c>
      <c r="H4" s="67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34" t="s">
        <v>13</v>
      </c>
      <c r="P4" s="67" t="s">
        <v>13</v>
      </c>
      <c r="Q4" s="101" t="s">
        <v>13</v>
      </c>
      <c r="R4" s="23" t="s">
        <v>13</v>
      </c>
      <c r="S4" s="34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19" si="4">if(countif($E4:$AI4,AJ$3)&gt;day(EOMONTH($T$2,0)),"Error",countif($E4:$AI4,AJ$3))</f>
        <v>31</v>
      </c>
      <c r="AK4" s="24">
        <f t="shared" ref="AK4:AK19" si="5">countif($E4:$AI4,AK$3)+(sum(AL4)/2)</f>
        <v>0</v>
      </c>
      <c r="AL4" s="24">
        <f t="shared" ref="AL4:AL19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85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101" t="s">
        <v>13</v>
      </c>
      <c r="R5" s="23" t="s">
        <v>13</v>
      </c>
      <c r="S5" s="34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 t="s">
        <v>13</v>
      </c>
      <c r="AH5" s="23" t="s">
        <v>13</v>
      </c>
      <c r="AI5" s="23" t="s">
        <v>13</v>
      </c>
      <c r="AJ5" s="24">
        <f t="shared" si="4"/>
        <v>31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33</v>
      </c>
      <c r="AN5" s="70"/>
      <c r="AO5" s="71"/>
    </row>
    <row r="6" ht="19.5" customHeight="1">
      <c r="A6" s="20" t="str">
        <f t="shared" si="3"/>
        <v>DanishChefIndian</v>
      </c>
      <c r="B6" s="21" t="s">
        <v>43</v>
      </c>
      <c r="C6" s="22" t="s">
        <v>18</v>
      </c>
      <c r="D6" s="22" t="s">
        <v>33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101" t="s">
        <v>13</v>
      </c>
      <c r="R6" s="23" t="s">
        <v>13</v>
      </c>
      <c r="S6" s="23" t="s">
        <v>13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3" t="s">
        <v>13</v>
      </c>
      <c r="AJ6" s="24">
        <f t="shared" si="4"/>
        <v>31</v>
      </c>
      <c r="AK6" s="24">
        <f t="shared" si="5"/>
        <v>0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33</v>
      </c>
      <c r="AN6" s="70"/>
      <c r="AO6" s="87"/>
    </row>
    <row r="7" ht="19.5" customHeight="1">
      <c r="A7" s="20" t="str">
        <f t="shared" si="3"/>
        <v>IrfanChefChinese</v>
      </c>
      <c r="B7" s="21" t="s">
        <v>44</v>
      </c>
      <c r="C7" s="22" t="s">
        <v>18</v>
      </c>
      <c r="D7" s="22" t="s">
        <v>40</v>
      </c>
      <c r="E7" s="67" t="s">
        <v>13</v>
      </c>
      <c r="F7" s="67" t="s">
        <v>13</v>
      </c>
      <c r="G7" s="67" t="s">
        <v>13</v>
      </c>
      <c r="H7" s="67" t="s">
        <v>38</v>
      </c>
      <c r="I7" s="67" t="s">
        <v>38</v>
      </c>
      <c r="J7" s="67" t="s">
        <v>38</v>
      </c>
      <c r="K7" s="67" t="s">
        <v>38</v>
      </c>
      <c r="L7" s="23" t="s">
        <v>38</v>
      </c>
      <c r="M7" s="23" t="s">
        <v>38</v>
      </c>
      <c r="N7" s="23" t="s">
        <v>38</v>
      </c>
      <c r="O7" s="23" t="s">
        <v>38</v>
      </c>
      <c r="P7" s="67" t="s">
        <v>38</v>
      </c>
      <c r="Q7" s="67" t="s">
        <v>38</v>
      </c>
      <c r="R7" s="23" t="s">
        <v>38</v>
      </c>
      <c r="S7" s="23" t="s">
        <v>38</v>
      </c>
      <c r="T7" s="23" t="s">
        <v>38</v>
      </c>
      <c r="U7" s="23" t="s">
        <v>38</v>
      </c>
      <c r="V7" s="23" t="s">
        <v>38</v>
      </c>
      <c r="W7" s="34" t="s">
        <v>38</v>
      </c>
      <c r="X7" s="23" t="s">
        <v>38</v>
      </c>
      <c r="Y7" s="23" t="s">
        <v>38</v>
      </c>
      <c r="Z7" s="23" t="s">
        <v>38</v>
      </c>
      <c r="AA7" s="67" t="s">
        <v>38</v>
      </c>
      <c r="AB7" s="67" t="s">
        <v>38</v>
      </c>
      <c r="AC7" s="67" t="s">
        <v>38</v>
      </c>
      <c r="AD7" s="23" t="s">
        <v>38</v>
      </c>
      <c r="AE7" s="23" t="s">
        <v>38</v>
      </c>
      <c r="AF7" s="23" t="s">
        <v>38</v>
      </c>
      <c r="AG7" s="23" t="s">
        <v>38</v>
      </c>
      <c r="AH7" s="23" t="s">
        <v>38</v>
      </c>
      <c r="AI7" s="23" t="s">
        <v>38</v>
      </c>
      <c r="AJ7" s="24">
        <f t="shared" si="4"/>
        <v>3</v>
      </c>
      <c r="AK7" s="24">
        <f t="shared" si="5"/>
        <v>0</v>
      </c>
      <c r="AL7" s="24">
        <f t="shared" si="6"/>
        <v>0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</v>
      </c>
      <c r="AN7" s="69"/>
      <c r="AO7" s="71"/>
    </row>
    <row r="8" ht="19.5" customHeight="1">
      <c r="A8" s="20" t="str">
        <f t="shared" si="3"/>
        <v>WakilHelperTandoor</v>
      </c>
      <c r="B8" s="21" t="s">
        <v>24</v>
      </c>
      <c r="C8" s="20" t="s">
        <v>15</v>
      </c>
      <c r="D8" s="20" t="s">
        <v>19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20</v>
      </c>
      <c r="J8" s="23" t="s">
        <v>13</v>
      </c>
      <c r="K8" s="67" t="s">
        <v>13</v>
      </c>
      <c r="L8" s="23" t="s">
        <v>34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34</v>
      </c>
      <c r="X8" s="23" t="s">
        <v>13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28</v>
      </c>
      <c r="AK8" s="24">
        <f t="shared" si="5"/>
        <v>2</v>
      </c>
      <c r="AL8" s="24">
        <f t="shared" si="6"/>
        <v>2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31</v>
      </c>
      <c r="AN8" s="70"/>
      <c r="AO8" s="68"/>
    </row>
    <row r="9" ht="19.5" customHeight="1">
      <c r="A9" s="20" t="str">
        <f t="shared" si="3"/>
        <v>SuhailWaiterService</v>
      </c>
      <c r="B9" s="21" t="s">
        <v>21</v>
      </c>
      <c r="C9" s="20" t="s">
        <v>22</v>
      </c>
      <c r="D9" s="20" t="s">
        <v>12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20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4">
        <f t="shared" si="4"/>
        <v>30</v>
      </c>
      <c r="AK9" s="24">
        <f t="shared" si="5"/>
        <v>1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32</v>
      </c>
      <c r="AN9" s="69"/>
      <c r="AO9" s="68"/>
    </row>
    <row r="10" ht="19.5" customHeight="1">
      <c r="A10" s="20" t="str">
        <f t="shared" si="3"/>
        <v>HasimHelperMori</v>
      </c>
      <c r="B10" s="21" t="s">
        <v>69</v>
      </c>
      <c r="C10" s="20" t="s">
        <v>15</v>
      </c>
      <c r="D10" s="20" t="s">
        <v>16</v>
      </c>
      <c r="E10" s="23" t="s">
        <v>13</v>
      </c>
      <c r="F10" s="23" t="s">
        <v>13</v>
      </c>
      <c r="G10" s="23" t="s">
        <v>13</v>
      </c>
      <c r="H10" s="23" t="s">
        <v>38</v>
      </c>
      <c r="I10" s="23" t="s">
        <v>38</v>
      </c>
      <c r="J10" s="23" t="s">
        <v>38</v>
      </c>
      <c r="K10" s="67" t="s">
        <v>38</v>
      </c>
      <c r="L10" s="23" t="s">
        <v>38</v>
      </c>
      <c r="M10" s="23" t="s">
        <v>38</v>
      </c>
      <c r="N10" s="23" t="s">
        <v>38</v>
      </c>
      <c r="O10" s="23" t="s">
        <v>38</v>
      </c>
      <c r="P10" s="23" t="s">
        <v>38</v>
      </c>
      <c r="Q10" s="23" t="s">
        <v>38</v>
      </c>
      <c r="R10" s="23" t="s">
        <v>38</v>
      </c>
      <c r="S10" s="23" t="s">
        <v>38</v>
      </c>
      <c r="T10" s="23" t="s">
        <v>38</v>
      </c>
      <c r="U10" s="23" t="s">
        <v>38</v>
      </c>
      <c r="V10" s="23" t="s">
        <v>38</v>
      </c>
      <c r="W10" s="23" t="s">
        <v>38</v>
      </c>
      <c r="X10" s="23" t="s">
        <v>38</v>
      </c>
      <c r="Y10" s="23" t="s">
        <v>38</v>
      </c>
      <c r="Z10" s="23" t="s">
        <v>38</v>
      </c>
      <c r="AA10" s="23" t="s">
        <v>38</v>
      </c>
      <c r="AB10" s="23" t="s">
        <v>38</v>
      </c>
      <c r="AC10" s="23" t="s">
        <v>38</v>
      </c>
      <c r="AD10" s="23" t="s">
        <v>38</v>
      </c>
      <c r="AE10" s="23" t="s">
        <v>38</v>
      </c>
      <c r="AF10" s="23" t="s">
        <v>38</v>
      </c>
      <c r="AG10" s="23" t="s">
        <v>38</v>
      </c>
      <c r="AH10" s="23" t="s">
        <v>38</v>
      </c>
      <c r="AI10" s="23" t="s">
        <v>38</v>
      </c>
      <c r="AJ10" s="24">
        <f t="shared" si="4"/>
        <v>3</v>
      </c>
      <c r="AK10" s="24">
        <f t="shared" si="5"/>
        <v>0</v>
      </c>
      <c r="AL10" s="24">
        <f t="shared" si="6"/>
        <v>0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</v>
      </c>
      <c r="AN10" s="69"/>
      <c r="AO10" s="68"/>
    </row>
    <row r="11" ht="19.5" hidden="1" customHeight="1">
      <c r="A11" s="20" t="str">
        <f t="shared" si="3"/>
        <v/>
      </c>
      <c r="E11" s="23"/>
      <c r="F11" s="23"/>
      <c r="G11" s="23"/>
      <c r="H11" s="23"/>
      <c r="I11" s="23"/>
      <c r="J11" s="23"/>
      <c r="K11" s="67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>
        <f t="shared" si="4"/>
        <v>0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0</v>
      </c>
      <c r="AN11" s="69"/>
      <c r="AO11" s="68"/>
      <c r="AP11" s="76"/>
    </row>
    <row r="12" ht="19.5" customHeight="1">
      <c r="A12" s="20" t="str">
        <f t="shared" si="3"/>
        <v>NaseemSupervisorSupervisor</v>
      </c>
      <c r="B12" s="81" t="s">
        <v>26</v>
      </c>
      <c r="C12" s="81" t="s">
        <v>27</v>
      </c>
      <c r="D12" s="81" t="s">
        <v>27</v>
      </c>
      <c r="E12" s="23" t="s">
        <v>13</v>
      </c>
      <c r="F12" s="23" t="s">
        <v>13</v>
      </c>
      <c r="G12" s="23" t="s">
        <v>38</v>
      </c>
      <c r="H12" s="23" t="s">
        <v>38</v>
      </c>
      <c r="I12" s="23" t="s">
        <v>38</v>
      </c>
      <c r="J12" s="23" t="s">
        <v>38</v>
      </c>
      <c r="K12" s="67" t="s">
        <v>38</v>
      </c>
      <c r="L12" s="23" t="s">
        <v>38</v>
      </c>
      <c r="M12" s="23" t="s">
        <v>38</v>
      </c>
      <c r="N12" s="23" t="s">
        <v>38</v>
      </c>
      <c r="O12" s="23" t="s">
        <v>38</v>
      </c>
      <c r="P12" s="23" t="s">
        <v>38</v>
      </c>
      <c r="Q12" s="23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 t="s">
        <v>13</v>
      </c>
      <c r="AJ12" s="24">
        <f t="shared" si="4"/>
        <v>21</v>
      </c>
      <c r="AK12" s="24">
        <f t="shared" si="5"/>
        <v>0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22</v>
      </c>
      <c r="AN12" s="69"/>
      <c r="AO12" s="68"/>
    </row>
    <row r="13" ht="19.5" customHeight="1">
      <c r="A13" s="20" t="str">
        <f t="shared" si="3"/>
        <v>DineshWaiterService</v>
      </c>
      <c r="B13" s="81" t="s">
        <v>80</v>
      </c>
      <c r="C13" s="81" t="s">
        <v>22</v>
      </c>
      <c r="D13" s="81" t="s">
        <v>12</v>
      </c>
      <c r="E13" s="23" t="s">
        <v>13</v>
      </c>
      <c r="F13" s="23" t="s">
        <v>13</v>
      </c>
      <c r="G13" s="23" t="s">
        <v>13</v>
      </c>
      <c r="H13" s="23" t="s">
        <v>13</v>
      </c>
      <c r="I13" s="23" t="s">
        <v>20</v>
      </c>
      <c r="J13" s="23" t="s">
        <v>13</v>
      </c>
      <c r="K13" s="67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20</v>
      </c>
      <c r="Q13" s="23" t="s">
        <v>13</v>
      </c>
      <c r="R13" s="23" t="s">
        <v>13</v>
      </c>
      <c r="S13" s="23" t="s">
        <v>13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 t="s">
        <v>13</v>
      </c>
      <c r="AJ13" s="24">
        <f t="shared" si="4"/>
        <v>29</v>
      </c>
      <c r="AK13" s="24">
        <f t="shared" si="5"/>
        <v>2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31</v>
      </c>
      <c r="AN13" s="70"/>
      <c r="AO13" s="68"/>
    </row>
    <row r="14" ht="19.5" customHeight="1">
      <c r="A14" s="20" t="str">
        <f t="shared" si="3"/>
        <v>RajuWaiterService</v>
      </c>
      <c r="B14" s="81" t="s">
        <v>74</v>
      </c>
      <c r="C14" s="81" t="s">
        <v>22</v>
      </c>
      <c r="D14" s="81" t="s">
        <v>12</v>
      </c>
      <c r="E14" s="23" t="s">
        <v>13</v>
      </c>
      <c r="F14" s="23" t="s">
        <v>13</v>
      </c>
      <c r="G14" s="23" t="s">
        <v>13</v>
      </c>
      <c r="H14" s="23" t="s">
        <v>13</v>
      </c>
      <c r="I14" s="23" t="s">
        <v>13</v>
      </c>
      <c r="J14" s="23" t="s">
        <v>13</v>
      </c>
      <c r="K14" s="67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13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38</v>
      </c>
      <c r="AE14" s="23" t="s">
        <v>38</v>
      </c>
      <c r="AF14" s="23" t="s">
        <v>38</v>
      </c>
      <c r="AG14" s="23" t="s">
        <v>38</v>
      </c>
      <c r="AH14" s="23" t="s">
        <v>38</v>
      </c>
      <c r="AI14" s="23" t="s">
        <v>38</v>
      </c>
      <c r="AJ14" s="24">
        <f t="shared" si="4"/>
        <v>25</v>
      </c>
      <c r="AK14" s="24">
        <f t="shared" si="5"/>
        <v>0</v>
      </c>
      <c r="AL14" s="24">
        <f t="shared" si="6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26</v>
      </c>
      <c r="AN14" s="69"/>
      <c r="AO14" s="68"/>
    </row>
    <row r="15" ht="19.5" customHeight="1">
      <c r="A15" s="20" t="str">
        <f t="shared" si="3"/>
        <v>AasifChefIndian</v>
      </c>
      <c r="B15" s="81" t="s">
        <v>32</v>
      </c>
      <c r="C15" s="81" t="s">
        <v>18</v>
      </c>
      <c r="D15" s="81" t="s">
        <v>33</v>
      </c>
      <c r="E15" s="23" t="s">
        <v>13</v>
      </c>
      <c r="F15" s="23" t="s">
        <v>13</v>
      </c>
      <c r="G15" s="23" t="s">
        <v>13</v>
      </c>
      <c r="H15" s="23" t="s">
        <v>13</v>
      </c>
      <c r="I15" s="23" t="s">
        <v>13</v>
      </c>
      <c r="J15" s="23" t="s">
        <v>13</v>
      </c>
      <c r="K15" s="67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31</v>
      </c>
      <c r="AK15" s="24">
        <f t="shared" si="5"/>
        <v>0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33</v>
      </c>
      <c r="AN15" s="70"/>
      <c r="AO15" s="68"/>
    </row>
    <row r="16" ht="19.5" customHeight="1">
      <c r="A16" s="20" t="str">
        <f t="shared" si="3"/>
        <v>NoorHelperIndian</v>
      </c>
      <c r="B16" s="81" t="s">
        <v>77</v>
      </c>
      <c r="C16" s="81" t="s">
        <v>15</v>
      </c>
      <c r="D16" s="81" t="s">
        <v>33</v>
      </c>
      <c r="E16" s="23" t="s">
        <v>13</v>
      </c>
      <c r="F16" s="23" t="s">
        <v>13</v>
      </c>
      <c r="G16" s="23" t="s">
        <v>13</v>
      </c>
      <c r="H16" s="23" t="s">
        <v>13</v>
      </c>
      <c r="I16" s="23" t="s">
        <v>13</v>
      </c>
      <c r="J16" s="23" t="s">
        <v>34</v>
      </c>
      <c r="K16" s="67" t="s">
        <v>13</v>
      </c>
      <c r="L16" s="23" t="s">
        <v>13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34</v>
      </c>
      <c r="R16" s="23" t="s">
        <v>13</v>
      </c>
      <c r="S16" s="23" t="s">
        <v>13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20</v>
      </c>
      <c r="AA16" s="23" t="s">
        <v>13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13</v>
      </c>
      <c r="AJ16" s="24">
        <f t="shared" si="4"/>
        <v>28</v>
      </c>
      <c r="AK16" s="24">
        <f t="shared" si="5"/>
        <v>2</v>
      </c>
      <c r="AL16" s="24">
        <f t="shared" si="6"/>
        <v>2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31</v>
      </c>
      <c r="AN16" s="69"/>
      <c r="AO16" s="68"/>
    </row>
    <row r="17" ht="19.5" customHeight="1">
      <c r="A17" s="20" t="str">
        <f t="shared" si="3"/>
        <v>ManoharWaiterService</v>
      </c>
      <c r="B17" s="81" t="s">
        <v>78</v>
      </c>
      <c r="C17" s="81" t="s">
        <v>22</v>
      </c>
      <c r="D17" s="81" t="s">
        <v>12</v>
      </c>
      <c r="E17" s="23" t="s">
        <v>13</v>
      </c>
      <c r="F17" s="23" t="s">
        <v>13</v>
      </c>
      <c r="G17" s="23" t="s">
        <v>13</v>
      </c>
      <c r="H17" s="34" t="s">
        <v>13</v>
      </c>
      <c r="I17" s="23" t="s">
        <v>13</v>
      </c>
      <c r="J17" s="23" t="s">
        <v>20</v>
      </c>
      <c r="K17" s="67" t="s">
        <v>13</v>
      </c>
      <c r="L17" s="23" t="s">
        <v>13</v>
      </c>
      <c r="M17" s="23" t="s">
        <v>13</v>
      </c>
      <c r="N17" s="23" t="s">
        <v>13</v>
      </c>
      <c r="O17" s="23" t="s">
        <v>13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20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29</v>
      </c>
      <c r="AK17" s="24">
        <f t="shared" si="5"/>
        <v>2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31</v>
      </c>
      <c r="AN17" s="69"/>
      <c r="AO17" s="68"/>
    </row>
    <row r="18" ht="19.5" customHeight="1">
      <c r="A18" s="20" t="str">
        <f t="shared" si="3"/>
        <v>VIjayChefTandoor</v>
      </c>
      <c r="B18" s="81" t="s">
        <v>81</v>
      </c>
      <c r="C18" s="81" t="s">
        <v>18</v>
      </c>
      <c r="D18" s="81" t="s">
        <v>19</v>
      </c>
      <c r="E18" s="23" t="s">
        <v>13</v>
      </c>
      <c r="F18" s="23" t="s">
        <v>13</v>
      </c>
      <c r="G18" s="23" t="s">
        <v>20</v>
      </c>
      <c r="H18" s="34" t="s">
        <v>13</v>
      </c>
      <c r="I18" s="23" t="s">
        <v>13</v>
      </c>
      <c r="J18" s="23" t="s">
        <v>13</v>
      </c>
      <c r="K18" s="67" t="s">
        <v>13</v>
      </c>
      <c r="L18" s="23" t="s">
        <v>13</v>
      </c>
      <c r="M18" s="23" t="s">
        <v>13</v>
      </c>
      <c r="N18" s="23" t="s">
        <v>13</v>
      </c>
      <c r="O18" s="23" t="s">
        <v>13</v>
      </c>
      <c r="P18" s="23" t="s">
        <v>13</v>
      </c>
      <c r="Q18" s="23" t="s">
        <v>34</v>
      </c>
      <c r="R18" s="23" t="s">
        <v>13</v>
      </c>
      <c r="S18" s="23" t="s">
        <v>34</v>
      </c>
      <c r="T18" s="23" t="s">
        <v>13</v>
      </c>
      <c r="U18" s="23" t="s">
        <v>13</v>
      </c>
      <c r="V18" s="23" t="s">
        <v>13</v>
      </c>
      <c r="W18" s="23" t="s">
        <v>13</v>
      </c>
      <c r="X18" s="23" t="s">
        <v>13</v>
      </c>
      <c r="Y18" s="23" t="s">
        <v>13</v>
      </c>
      <c r="Z18" s="23" t="s">
        <v>13</v>
      </c>
      <c r="AA18" s="23" t="s">
        <v>13</v>
      </c>
      <c r="AB18" s="23" t="s">
        <v>13</v>
      </c>
      <c r="AC18" s="23" t="s">
        <v>13</v>
      </c>
      <c r="AD18" s="23" t="s">
        <v>13</v>
      </c>
      <c r="AE18" s="23" t="s">
        <v>13</v>
      </c>
      <c r="AF18" s="23" t="s">
        <v>13</v>
      </c>
      <c r="AG18" s="23" t="s">
        <v>13</v>
      </c>
      <c r="AH18" s="23" t="s">
        <v>13</v>
      </c>
      <c r="AI18" s="23" t="s">
        <v>13</v>
      </c>
      <c r="AJ18" s="24">
        <f t="shared" si="4"/>
        <v>28</v>
      </c>
      <c r="AK18" s="24">
        <f t="shared" si="5"/>
        <v>2</v>
      </c>
      <c r="AL18" s="24">
        <f t="shared" si="6"/>
        <v>2</v>
      </c>
      <c r="AM18" s="68">
        <f>IFERROR(
  (AJ18 + AL18 * 0.5) + 
  IF(DAY(EOMONTH(E$2, 0)) = 28, VLOOKUP((AJ18 + AL18 * 0.5), Lookup!G:H, 2, FALSE),
    IF(DAY(EOMONTH(E$2, 0)) = 29, VLOOKUP((AJ18 + AL18 * 0.5), Lookup!E:F, 2, FALSE),
      IF(DAY(EOMONTH(E$2, 0)) = 30, VLOOKUP((AJ18 + AL18 * 0.5), Lookup!C:D, 2, FALSE),
        IF(DAY(EOMONTH(E$2, 0)) = 31, VLOOKUP((AJ18 + AL18 * 0.5), Lookup!A:B, 2, FALSE),
          0
        )
      )
    )
  ),
0)
</f>
        <v>31</v>
      </c>
      <c r="AN18" s="69"/>
      <c r="AO18" s="68"/>
    </row>
    <row r="19" ht="19.5" customHeight="1">
      <c r="A19" s="20" t="str">
        <f t="shared" si="3"/>
        <v>RakeshHelperChinese</v>
      </c>
      <c r="B19" s="81" t="s">
        <v>83</v>
      </c>
      <c r="C19" s="81" t="s">
        <v>15</v>
      </c>
      <c r="D19" s="81" t="s">
        <v>40</v>
      </c>
      <c r="AF19" s="23" t="s">
        <v>13</v>
      </c>
      <c r="AG19" s="23" t="s">
        <v>13</v>
      </c>
      <c r="AH19" s="23" t="s">
        <v>13</v>
      </c>
      <c r="AI19" s="23" t="s">
        <v>13</v>
      </c>
      <c r="AJ19" s="24">
        <f t="shared" si="4"/>
        <v>4</v>
      </c>
      <c r="AK19" s="24">
        <f t="shared" si="5"/>
        <v>0</v>
      </c>
      <c r="AL19" s="24">
        <f t="shared" si="6"/>
        <v>0</v>
      </c>
      <c r="AM19" s="68">
        <f>IFERROR(
  (AJ19 + AL19 * 0.5) + 
  IF(DAY(EOMONTH(E$2, 0)) = 28, VLOOKUP((AJ19 + AL19 * 0.5), Lookup!G:H, 2, FALSE),
    IF(DAY(EOMONTH(E$2, 0)) = 29, VLOOKUP((AJ19 + AL19 * 0.5), Lookup!E:F, 2, FALSE),
      IF(DAY(EOMONTH(E$2, 0)) = 30, VLOOKUP((AJ19 + AL19 * 0.5), Lookup!C:D, 2, FALSE),
        IF(DAY(EOMONTH(E$2, 0)) = 31, VLOOKUP((AJ19 + AL19 * 0.5), Lookup!A:B, 2, FALSE),
          0
        )
      )
    )
  ),
0)
</f>
        <v>4</v>
      </c>
      <c r="AN19" s="69"/>
      <c r="AO19" s="68"/>
    </row>
    <row r="20" ht="19.5" customHeight="1">
      <c r="A20" s="28"/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  <row r="1006" ht="19.5" customHeight="1">
      <c r="A1006" s="28"/>
    </row>
    <row r="1007" ht="19.5" customHeight="1">
      <c r="A1007" s="28"/>
    </row>
  </sheetData>
  <mergeCells count="1">
    <mergeCell ref="E1:U1"/>
  </mergeCells>
  <dataValidations>
    <dataValidation type="list" allowBlank="1" showErrorMessage="1" sqref="E4:AI18 AF19:AI19">
      <formula1>"Present,Off,Half Day,Left"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/>
      <c r="C1" s="5"/>
      <c r="D1" s="6">
        <f>day(EOMONTH(T2,0))</f>
        <v>28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46054.0</v>
      </c>
      <c r="F2" s="12">
        <f t="shared" ref="F2:AI2" si="1">IF(MONTH(E2+1)=MONTH(EOMONTH($E$2,0)),E2+1,"")</f>
        <v>46055</v>
      </c>
      <c r="G2" s="12">
        <f t="shared" si="1"/>
        <v>46056</v>
      </c>
      <c r="H2" s="12">
        <f t="shared" si="1"/>
        <v>46057</v>
      </c>
      <c r="I2" s="12">
        <f t="shared" si="1"/>
        <v>46058</v>
      </c>
      <c r="J2" s="12">
        <f t="shared" si="1"/>
        <v>46059</v>
      </c>
      <c r="K2" s="12">
        <f t="shared" si="1"/>
        <v>46060</v>
      </c>
      <c r="L2" s="12">
        <f t="shared" si="1"/>
        <v>46061</v>
      </c>
      <c r="M2" s="12">
        <f t="shared" si="1"/>
        <v>46062</v>
      </c>
      <c r="N2" s="12">
        <f t="shared" si="1"/>
        <v>46063</v>
      </c>
      <c r="O2" s="12">
        <f t="shared" si="1"/>
        <v>46064</v>
      </c>
      <c r="P2" s="12">
        <f t="shared" si="1"/>
        <v>46065</v>
      </c>
      <c r="Q2" s="12">
        <f t="shared" si="1"/>
        <v>46066</v>
      </c>
      <c r="R2" s="12">
        <f t="shared" si="1"/>
        <v>46067</v>
      </c>
      <c r="S2" s="12">
        <f t="shared" si="1"/>
        <v>46068</v>
      </c>
      <c r="T2" s="12">
        <f t="shared" si="1"/>
        <v>46069</v>
      </c>
      <c r="U2" s="12">
        <f t="shared" si="1"/>
        <v>46070</v>
      </c>
      <c r="V2" s="12">
        <f t="shared" si="1"/>
        <v>46071</v>
      </c>
      <c r="W2" s="12">
        <f t="shared" si="1"/>
        <v>46072</v>
      </c>
      <c r="X2" s="12">
        <f t="shared" si="1"/>
        <v>46073</v>
      </c>
      <c r="Y2" s="12">
        <f t="shared" si="1"/>
        <v>46074</v>
      </c>
      <c r="Z2" s="12">
        <f t="shared" si="1"/>
        <v>46075</v>
      </c>
      <c r="AA2" s="12">
        <f t="shared" si="1"/>
        <v>46076</v>
      </c>
      <c r="AB2" s="12">
        <f t="shared" si="1"/>
        <v>46077</v>
      </c>
      <c r="AC2" s="12">
        <f t="shared" si="1"/>
        <v>46078</v>
      </c>
      <c r="AD2" s="12">
        <f t="shared" si="1"/>
        <v>46079</v>
      </c>
      <c r="AE2" s="12">
        <f t="shared" si="1"/>
        <v>46080</v>
      </c>
      <c r="AF2" s="12">
        <f t="shared" si="1"/>
        <v>46081</v>
      </c>
      <c r="AG2" s="12" t="str">
        <f t="shared" si="1"/>
        <v/>
      </c>
      <c r="AH2" s="12" t="str">
        <f t="shared" si="1"/>
        <v/>
      </c>
      <c r="AI2" s="12" t="str">
        <f t="shared" si="1"/>
        <v/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46054</v>
      </c>
      <c r="F3" s="17">
        <f t="shared" si="2"/>
        <v>46055</v>
      </c>
      <c r="G3" s="17">
        <f t="shared" si="2"/>
        <v>46056</v>
      </c>
      <c r="H3" s="17">
        <f t="shared" si="2"/>
        <v>46057</v>
      </c>
      <c r="I3" s="17">
        <f t="shared" si="2"/>
        <v>46058</v>
      </c>
      <c r="J3" s="17">
        <f t="shared" si="2"/>
        <v>46059</v>
      </c>
      <c r="K3" s="17">
        <f t="shared" si="2"/>
        <v>46060</v>
      </c>
      <c r="L3" s="17">
        <f t="shared" si="2"/>
        <v>46061</v>
      </c>
      <c r="M3" s="17">
        <f t="shared" si="2"/>
        <v>46062</v>
      </c>
      <c r="N3" s="17">
        <f t="shared" si="2"/>
        <v>46063</v>
      </c>
      <c r="O3" s="17">
        <f t="shared" si="2"/>
        <v>46064</v>
      </c>
      <c r="P3" s="17">
        <f t="shared" si="2"/>
        <v>46065</v>
      </c>
      <c r="Q3" s="17">
        <f t="shared" si="2"/>
        <v>46066</v>
      </c>
      <c r="R3" s="17">
        <f t="shared" si="2"/>
        <v>46067</v>
      </c>
      <c r="S3" s="17">
        <f t="shared" si="2"/>
        <v>46068</v>
      </c>
      <c r="T3" s="17">
        <f t="shared" si="2"/>
        <v>46069</v>
      </c>
      <c r="U3" s="17">
        <f t="shared" si="2"/>
        <v>46070</v>
      </c>
      <c r="V3" s="17">
        <f t="shared" si="2"/>
        <v>46071</v>
      </c>
      <c r="W3" s="17">
        <f t="shared" si="2"/>
        <v>46072</v>
      </c>
      <c r="X3" s="17">
        <f t="shared" si="2"/>
        <v>46073</v>
      </c>
      <c r="Y3" s="17">
        <f t="shared" si="2"/>
        <v>46074</v>
      </c>
      <c r="Z3" s="17">
        <f t="shared" si="2"/>
        <v>46075</v>
      </c>
      <c r="AA3" s="17">
        <f t="shared" si="2"/>
        <v>46076</v>
      </c>
      <c r="AB3" s="17">
        <f t="shared" si="2"/>
        <v>46077</v>
      </c>
      <c r="AC3" s="17">
        <f t="shared" si="2"/>
        <v>46078</v>
      </c>
      <c r="AD3" s="17">
        <f t="shared" si="2"/>
        <v>46079</v>
      </c>
      <c r="AE3" s="17">
        <f t="shared" si="2"/>
        <v>46080</v>
      </c>
      <c r="AF3" s="17">
        <f t="shared" si="2"/>
        <v>46081</v>
      </c>
      <c r="AG3" s="17" t="str">
        <f t="shared" si="2"/>
        <v/>
      </c>
      <c r="AH3" s="17" t="str">
        <f t="shared" si="2"/>
        <v/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7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100" t="s">
        <v>13</v>
      </c>
      <c r="G4" s="85" t="s">
        <v>13</v>
      </c>
      <c r="H4" s="67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34" t="s">
        <v>13</v>
      </c>
      <c r="P4" s="67" t="s">
        <v>13</v>
      </c>
      <c r="Q4" s="101" t="s">
        <v>13</v>
      </c>
      <c r="R4" s="34" t="s">
        <v>13</v>
      </c>
      <c r="S4" s="34" t="s">
        <v>20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/>
      <c r="AH4" s="67"/>
      <c r="AI4" s="67"/>
      <c r="AJ4" s="24">
        <f t="shared" ref="AJ4:AJ17" si="4">if(countif($E4:$AI4,AJ$3)&gt;day(EOMONTH($T$2,0)),"Error",countif($E4:$AI4,AJ$3))</f>
        <v>27</v>
      </c>
      <c r="AK4" s="24">
        <f t="shared" ref="AK4:AK17" si="5">countif($E4:$AI4,AK$3)+(sum(AL4)/2)</f>
        <v>1</v>
      </c>
      <c r="AL4" s="24">
        <f t="shared" ref="AL4:AL17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29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85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101" t="s">
        <v>13</v>
      </c>
      <c r="R5" s="23" t="s">
        <v>13</v>
      </c>
      <c r="S5" s="34" t="s">
        <v>20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 t="s">
        <v>13</v>
      </c>
      <c r="Z5" s="23" t="s">
        <v>13</v>
      </c>
      <c r="AA5" s="67" t="s">
        <v>13</v>
      </c>
      <c r="AB5" s="67" t="s">
        <v>13</v>
      </c>
      <c r="AC5" s="67" t="s">
        <v>13</v>
      </c>
      <c r="AD5" s="23" t="s">
        <v>13</v>
      </c>
      <c r="AE5" s="23" t="s">
        <v>13</v>
      </c>
      <c r="AF5" s="23" t="s">
        <v>13</v>
      </c>
      <c r="AG5" s="23"/>
      <c r="AH5" s="23"/>
      <c r="AI5" s="23"/>
      <c r="AJ5" s="24">
        <f t="shared" si="4"/>
        <v>27</v>
      </c>
      <c r="AK5" s="24">
        <f t="shared" si="5"/>
        <v>1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29</v>
      </c>
      <c r="AN5" s="70"/>
      <c r="AO5" s="71"/>
    </row>
    <row r="6" ht="19.5" customHeight="1">
      <c r="A6" s="20" t="str">
        <f t="shared" si="3"/>
        <v>DanishChefIndian</v>
      </c>
      <c r="B6" s="21" t="s">
        <v>43</v>
      </c>
      <c r="C6" s="22" t="s">
        <v>18</v>
      </c>
      <c r="D6" s="22" t="s">
        <v>33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20</v>
      </c>
      <c r="O6" s="23" t="s">
        <v>13</v>
      </c>
      <c r="P6" s="67" t="s">
        <v>13</v>
      </c>
      <c r="Q6" s="101" t="s">
        <v>13</v>
      </c>
      <c r="R6" s="23" t="s">
        <v>13</v>
      </c>
      <c r="S6" s="34" t="s">
        <v>20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 t="s">
        <v>13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13</v>
      </c>
      <c r="AE6" s="23" t="s">
        <v>13</v>
      </c>
      <c r="AF6" s="23" t="s">
        <v>13</v>
      </c>
      <c r="AG6" s="23"/>
      <c r="AH6" s="23"/>
      <c r="AI6" s="23"/>
      <c r="AJ6" s="24">
        <f t="shared" si="4"/>
        <v>26</v>
      </c>
      <c r="AK6" s="24">
        <f t="shared" si="5"/>
        <v>2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28</v>
      </c>
      <c r="AN6" s="70"/>
      <c r="AO6" s="87"/>
    </row>
    <row r="7" ht="19.5" customHeight="1">
      <c r="A7" s="20" t="str">
        <f t="shared" si="3"/>
        <v>WakilHelperTandoor</v>
      </c>
      <c r="B7" s="21" t="s">
        <v>24</v>
      </c>
      <c r="C7" s="20" t="s">
        <v>15</v>
      </c>
      <c r="D7" s="20" t="s">
        <v>19</v>
      </c>
      <c r="E7" s="23" t="s">
        <v>13</v>
      </c>
      <c r="F7" s="23" t="s">
        <v>34</v>
      </c>
      <c r="G7" s="23" t="s">
        <v>13</v>
      </c>
      <c r="H7" s="23" t="s">
        <v>13</v>
      </c>
      <c r="I7" s="23" t="s">
        <v>13</v>
      </c>
      <c r="J7" s="23" t="s">
        <v>13</v>
      </c>
      <c r="K7" s="67" t="s">
        <v>13</v>
      </c>
      <c r="L7" s="23" t="s">
        <v>13</v>
      </c>
      <c r="M7" s="23" t="s">
        <v>34</v>
      </c>
      <c r="N7" s="23" t="s">
        <v>13</v>
      </c>
      <c r="O7" s="23" t="s">
        <v>13</v>
      </c>
      <c r="P7" s="23" t="s">
        <v>13</v>
      </c>
      <c r="Q7" s="23" t="s">
        <v>13</v>
      </c>
      <c r="R7" s="23" t="s">
        <v>13</v>
      </c>
      <c r="S7" s="23" t="s">
        <v>20</v>
      </c>
      <c r="T7" s="23" t="s">
        <v>13</v>
      </c>
      <c r="U7" s="23" t="s">
        <v>13</v>
      </c>
      <c r="V7" s="23" t="s">
        <v>13</v>
      </c>
      <c r="W7" s="23" t="s">
        <v>13</v>
      </c>
      <c r="X7" s="23" t="s">
        <v>13</v>
      </c>
      <c r="Y7" s="23" t="s">
        <v>13</v>
      </c>
      <c r="Z7" s="23" t="s">
        <v>13</v>
      </c>
      <c r="AA7" s="23" t="s">
        <v>13</v>
      </c>
      <c r="AB7" s="23" t="s">
        <v>13</v>
      </c>
      <c r="AC7" s="23" t="s">
        <v>13</v>
      </c>
      <c r="AD7" s="23" t="s">
        <v>13</v>
      </c>
      <c r="AE7" s="23" t="s">
        <v>13</v>
      </c>
      <c r="AF7" s="23" t="s">
        <v>13</v>
      </c>
      <c r="AG7" s="23"/>
      <c r="AH7" s="23"/>
      <c r="AI7" s="23"/>
      <c r="AJ7" s="24">
        <f t="shared" si="4"/>
        <v>25</v>
      </c>
      <c r="AK7" s="24">
        <f t="shared" si="5"/>
        <v>2</v>
      </c>
      <c r="AL7" s="24">
        <f t="shared" si="6"/>
        <v>2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28</v>
      </c>
      <c r="AN7" s="70"/>
      <c r="AO7" s="68"/>
    </row>
    <row r="8" ht="19.5" customHeight="1">
      <c r="A8" s="20" t="str">
        <f t="shared" si="3"/>
        <v>SuhailWaiterService</v>
      </c>
      <c r="B8" s="21" t="s">
        <v>21</v>
      </c>
      <c r="C8" s="20" t="s">
        <v>22</v>
      </c>
      <c r="D8" s="20" t="s">
        <v>12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67" t="s">
        <v>13</v>
      </c>
      <c r="L8" s="23" t="s">
        <v>13</v>
      </c>
      <c r="M8" s="23" t="s">
        <v>13</v>
      </c>
      <c r="N8" s="23" t="s">
        <v>20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20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13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/>
      <c r="AH8" s="23"/>
      <c r="AI8" s="23"/>
      <c r="AJ8" s="24">
        <f t="shared" si="4"/>
        <v>26</v>
      </c>
      <c r="AK8" s="24">
        <f t="shared" si="5"/>
        <v>2</v>
      </c>
      <c r="AL8" s="24">
        <f t="shared" si="6"/>
        <v>0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28</v>
      </c>
      <c r="AN8" s="69"/>
      <c r="AO8" s="68"/>
    </row>
    <row r="9" ht="19.5" customHeight="1">
      <c r="A9" s="20" t="str">
        <f t="shared" si="3"/>
        <v>NaseemSupervisorSupervisor</v>
      </c>
      <c r="B9" s="81" t="s">
        <v>26</v>
      </c>
      <c r="C9" s="81" t="s">
        <v>27</v>
      </c>
      <c r="D9" s="81" t="s">
        <v>27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20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/>
      <c r="AH9" s="23"/>
      <c r="AI9" s="23"/>
      <c r="AJ9" s="24">
        <f t="shared" si="4"/>
        <v>27</v>
      </c>
      <c r="AK9" s="24">
        <f t="shared" si="5"/>
        <v>1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29</v>
      </c>
      <c r="AN9" s="69"/>
      <c r="AO9" s="68"/>
    </row>
    <row r="10" ht="19.5" customHeight="1">
      <c r="A10" s="20" t="str">
        <f t="shared" si="3"/>
        <v>DineshWaiterService</v>
      </c>
      <c r="B10" s="81" t="s">
        <v>80</v>
      </c>
      <c r="C10" s="81" t="s">
        <v>22</v>
      </c>
      <c r="D10" s="81" t="s">
        <v>12</v>
      </c>
      <c r="E10" s="23" t="s">
        <v>13</v>
      </c>
      <c r="F10" s="23" t="s">
        <v>13</v>
      </c>
      <c r="G10" s="23" t="s">
        <v>20</v>
      </c>
      <c r="H10" s="23" t="s">
        <v>13</v>
      </c>
      <c r="I10" s="23" t="s">
        <v>13</v>
      </c>
      <c r="J10" s="23" t="s">
        <v>13</v>
      </c>
      <c r="K10" s="67" t="s">
        <v>13</v>
      </c>
      <c r="L10" s="23" t="s">
        <v>13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13</v>
      </c>
      <c r="R10" s="23" t="s">
        <v>13</v>
      </c>
      <c r="S10" s="23" t="s">
        <v>20</v>
      </c>
      <c r="T10" s="23" t="s">
        <v>13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13</v>
      </c>
      <c r="AD10" s="23" t="s">
        <v>13</v>
      </c>
      <c r="AE10" s="23" t="s">
        <v>13</v>
      </c>
      <c r="AF10" s="23" t="s">
        <v>13</v>
      </c>
      <c r="AG10" s="23"/>
      <c r="AH10" s="23"/>
      <c r="AI10" s="23"/>
      <c r="AJ10" s="24">
        <f t="shared" si="4"/>
        <v>26</v>
      </c>
      <c r="AK10" s="24">
        <f t="shared" si="5"/>
        <v>2</v>
      </c>
      <c r="AL10" s="24">
        <f t="shared" si="6"/>
        <v>0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28</v>
      </c>
      <c r="AN10" s="69"/>
      <c r="AO10" s="68"/>
    </row>
    <row r="11" ht="19.5" customHeight="1">
      <c r="A11" s="20" t="str">
        <f t="shared" si="3"/>
        <v>AasifChefIndian</v>
      </c>
      <c r="B11" s="81" t="s">
        <v>32</v>
      </c>
      <c r="C11" s="81" t="s">
        <v>18</v>
      </c>
      <c r="D11" s="81" t="s">
        <v>33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67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20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 t="s">
        <v>13</v>
      </c>
      <c r="Z11" s="23" t="s">
        <v>13</v>
      </c>
      <c r="AA11" s="23" t="s">
        <v>13</v>
      </c>
      <c r="AB11" s="23" t="s">
        <v>13</v>
      </c>
      <c r="AC11" s="23" t="s">
        <v>13</v>
      </c>
      <c r="AD11" s="23" t="s">
        <v>13</v>
      </c>
      <c r="AE11" s="23" t="s">
        <v>13</v>
      </c>
      <c r="AF11" s="23" t="s">
        <v>13</v>
      </c>
      <c r="AG11" s="23"/>
      <c r="AH11" s="23"/>
      <c r="AI11" s="23"/>
      <c r="AJ11" s="24">
        <f t="shared" si="4"/>
        <v>27</v>
      </c>
      <c r="AK11" s="24">
        <f t="shared" si="5"/>
        <v>1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29</v>
      </c>
      <c r="AN11" s="70"/>
      <c r="AO11" s="68"/>
    </row>
    <row r="12" ht="19.5" customHeight="1">
      <c r="A12" s="20" t="str">
        <f t="shared" si="3"/>
        <v>NoorHelperIndian</v>
      </c>
      <c r="B12" s="81" t="s">
        <v>77</v>
      </c>
      <c r="C12" s="81" t="s">
        <v>15</v>
      </c>
      <c r="D12" s="81" t="s">
        <v>33</v>
      </c>
      <c r="E12" s="23" t="s">
        <v>13</v>
      </c>
      <c r="F12" s="23" t="s">
        <v>13</v>
      </c>
      <c r="G12" s="23" t="s">
        <v>34</v>
      </c>
      <c r="H12" s="23" t="s">
        <v>34</v>
      </c>
      <c r="I12" s="23" t="s">
        <v>13</v>
      </c>
      <c r="J12" s="23" t="s">
        <v>13</v>
      </c>
      <c r="K12" s="67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23" t="s">
        <v>13</v>
      </c>
      <c r="Q12" s="23" t="s">
        <v>13</v>
      </c>
      <c r="R12" s="23" t="s">
        <v>13</v>
      </c>
      <c r="S12" s="23" t="s">
        <v>20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13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/>
      <c r="AH12" s="23"/>
      <c r="AI12" s="23"/>
      <c r="AJ12" s="24">
        <f t="shared" si="4"/>
        <v>25</v>
      </c>
      <c r="AK12" s="24">
        <f t="shared" si="5"/>
        <v>2</v>
      </c>
      <c r="AL12" s="24">
        <f t="shared" si="6"/>
        <v>2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28</v>
      </c>
      <c r="AN12" s="69"/>
      <c r="AO12" s="68"/>
    </row>
    <row r="13" ht="19.5" customHeight="1">
      <c r="A13" s="20" t="str">
        <f t="shared" si="3"/>
        <v>ManoharWaiterService</v>
      </c>
      <c r="B13" s="81" t="s">
        <v>78</v>
      </c>
      <c r="C13" s="81" t="s">
        <v>22</v>
      </c>
      <c r="D13" s="81" t="s">
        <v>12</v>
      </c>
      <c r="E13" s="23" t="s">
        <v>13</v>
      </c>
      <c r="F13" s="23" t="s">
        <v>13</v>
      </c>
      <c r="G13" s="23" t="s">
        <v>13</v>
      </c>
      <c r="H13" s="34" t="s">
        <v>13</v>
      </c>
      <c r="I13" s="23" t="s">
        <v>13</v>
      </c>
      <c r="J13" s="23" t="s">
        <v>13</v>
      </c>
      <c r="K13" s="67" t="s">
        <v>13</v>
      </c>
      <c r="L13" s="23" t="s">
        <v>13</v>
      </c>
      <c r="M13" s="23" t="s">
        <v>13</v>
      </c>
      <c r="N13" s="23" t="s">
        <v>20</v>
      </c>
      <c r="O13" s="23" t="s">
        <v>13</v>
      </c>
      <c r="P13" s="23" t="s">
        <v>34</v>
      </c>
      <c r="Q13" s="23" t="s">
        <v>13</v>
      </c>
      <c r="R13" s="23" t="s">
        <v>13</v>
      </c>
      <c r="S13" s="23" t="s">
        <v>20</v>
      </c>
      <c r="T13" s="23" t="s">
        <v>13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/>
      <c r="AH13" s="23"/>
      <c r="AI13" s="23"/>
      <c r="AJ13" s="24">
        <f t="shared" si="4"/>
        <v>25</v>
      </c>
      <c r="AK13" s="24">
        <f t="shared" si="5"/>
        <v>2.5</v>
      </c>
      <c r="AL13" s="24">
        <f t="shared" si="6"/>
        <v>1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0</v>
      </c>
      <c r="AN13" s="70"/>
      <c r="AO13" s="68"/>
    </row>
    <row r="14" ht="19.5" customHeight="1">
      <c r="A14" s="20" t="str">
        <f t="shared" si="3"/>
        <v>VIjayChefTandoor</v>
      </c>
      <c r="B14" s="81" t="s">
        <v>81</v>
      </c>
      <c r="C14" s="81" t="s">
        <v>18</v>
      </c>
      <c r="D14" s="81" t="s">
        <v>19</v>
      </c>
      <c r="E14" s="23" t="s">
        <v>13</v>
      </c>
      <c r="F14" s="23" t="s">
        <v>13</v>
      </c>
      <c r="G14" s="23" t="s">
        <v>34</v>
      </c>
      <c r="H14" s="34" t="s">
        <v>13</v>
      </c>
      <c r="I14" s="23" t="s">
        <v>13</v>
      </c>
      <c r="J14" s="23" t="s">
        <v>13</v>
      </c>
      <c r="K14" s="67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34</v>
      </c>
      <c r="Q14" s="23" t="s">
        <v>13</v>
      </c>
      <c r="R14" s="23" t="s">
        <v>13</v>
      </c>
      <c r="S14" s="23" t="s">
        <v>20</v>
      </c>
      <c r="T14" s="23" t="s">
        <v>13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13</v>
      </c>
      <c r="AB14" s="23" t="s">
        <v>13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/>
      <c r="AH14" s="23"/>
      <c r="AI14" s="23"/>
      <c r="AJ14" s="24">
        <f t="shared" si="4"/>
        <v>25</v>
      </c>
      <c r="AK14" s="24">
        <f t="shared" si="5"/>
        <v>2</v>
      </c>
      <c r="AL14" s="24">
        <f t="shared" si="6"/>
        <v>2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28</v>
      </c>
      <c r="AN14" s="69"/>
      <c r="AO14" s="68"/>
    </row>
    <row r="15" ht="19.5" customHeight="1">
      <c r="A15" s="20" t="str">
        <f t="shared" si="3"/>
        <v>RakeshHelperChinese</v>
      </c>
      <c r="B15" s="81" t="s">
        <v>83</v>
      </c>
      <c r="C15" s="81" t="s">
        <v>15</v>
      </c>
      <c r="D15" s="81" t="s">
        <v>40</v>
      </c>
      <c r="E15" s="23" t="s">
        <v>13</v>
      </c>
      <c r="F15" s="23" t="s">
        <v>13</v>
      </c>
      <c r="G15" s="23" t="s">
        <v>13</v>
      </c>
      <c r="H15" s="34" t="s">
        <v>13</v>
      </c>
      <c r="I15" s="23" t="s">
        <v>13</v>
      </c>
      <c r="J15" s="23" t="s">
        <v>13</v>
      </c>
      <c r="K15" s="67" t="s">
        <v>13</v>
      </c>
      <c r="L15" s="23" t="s">
        <v>13</v>
      </c>
      <c r="M15" s="23" t="s">
        <v>13</v>
      </c>
      <c r="N15" s="23" t="s">
        <v>13</v>
      </c>
      <c r="O15" s="23" t="s">
        <v>13</v>
      </c>
      <c r="P15" s="23" t="s">
        <v>13</v>
      </c>
      <c r="Q15" s="23" t="s">
        <v>13</v>
      </c>
      <c r="R15" s="23" t="s">
        <v>13</v>
      </c>
      <c r="S15" s="23" t="s">
        <v>20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13</v>
      </c>
      <c r="AE15" s="23" t="s">
        <v>13</v>
      </c>
      <c r="AF15" s="23" t="s">
        <v>13</v>
      </c>
      <c r="AG15" s="23"/>
      <c r="AH15" s="23"/>
      <c r="AI15" s="23"/>
      <c r="AJ15" s="24">
        <f t="shared" si="4"/>
        <v>27</v>
      </c>
      <c r="AK15" s="24">
        <f t="shared" si="5"/>
        <v>1</v>
      </c>
      <c r="AL15" s="24">
        <f t="shared" si="6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29</v>
      </c>
      <c r="AN15" s="69"/>
      <c r="AO15" s="68"/>
    </row>
    <row r="16" ht="19.5" customHeight="1">
      <c r="A16" s="20" t="str">
        <f t="shared" si="3"/>
        <v>UmeshManagerManager</v>
      </c>
      <c r="B16" s="81" t="s">
        <v>84</v>
      </c>
      <c r="C16" s="81" t="s">
        <v>37</v>
      </c>
      <c r="D16" s="81" t="s">
        <v>37</v>
      </c>
      <c r="E16" s="23" t="s">
        <v>13</v>
      </c>
      <c r="F16" s="23" t="s">
        <v>38</v>
      </c>
      <c r="G16" s="23" t="s">
        <v>38</v>
      </c>
      <c r="H16" s="34" t="s">
        <v>13</v>
      </c>
      <c r="I16" s="23" t="s">
        <v>13</v>
      </c>
      <c r="J16" s="23" t="s">
        <v>13</v>
      </c>
      <c r="K16" s="67" t="s">
        <v>13</v>
      </c>
      <c r="L16" s="23" t="s">
        <v>38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20</v>
      </c>
      <c r="T16" s="23" t="s">
        <v>13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13</v>
      </c>
      <c r="AE16" s="23" t="s">
        <v>13</v>
      </c>
      <c r="AF16" s="23" t="s">
        <v>13</v>
      </c>
      <c r="AG16" s="23"/>
      <c r="AH16" s="23"/>
      <c r="AI16" s="23"/>
      <c r="AJ16" s="24">
        <f t="shared" si="4"/>
        <v>24</v>
      </c>
      <c r="AK16" s="24">
        <f t="shared" si="5"/>
        <v>1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25</v>
      </c>
      <c r="AN16" s="69"/>
      <c r="AO16" s="68"/>
    </row>
    <row r="17" ht="19.5" customHeight="1">
      <c r="A17" s="20" t="str">
        <f t="shared" si="3"/>
        <v>AbhishekHelperMori</v>
      </c>
      <c r="B17" s="81" t="s">
        <v>82</v>
      </c>
      <c r="C17" s="81" t="s">
        <v>15</v>
      </c>
      <c r="D17" s="81" t="s">
        <v>16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/>
      <c r="AH17" s="23"/>
      <c r="AI17" s="23"/>
      <c r="AJ17" s="24">
        <f t="shared" si="4"/>
        <v>10</v>
      </c>
      <c r="AK17" s="24">
        <f t="shared" si="5"/>
        <v>0</v>
      </c>
      <c r="AL17" s="24">
        <f t="shared" si="6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10</v>
      </c>
    </row>
    <row r="18" ht="19.5" customHeight="1">
      <c r="A18" s="28"/>
    </row>
    <row r="19" ht="19.5" customHeight="1">
      <c r="A19" s="28"/>
    </row>
    <row r="20" ht="19.5" customHeight="1">
      <c r="A20" s="28"/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</sheetData>
  <mergeCells count="1">
    <mergeCell ref="E1:U1"/>
  </mergeCells>
  <dataValidations>
    <dataValidation type="list" allowBlank="1" showErrorMessage="1" sqref="E4:AI16 W17:AI17">
      <formula1>"Present,Off,Half Day,Left"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/>
      <c r="C1" s="5"/>
      <c r="D1" s="6">
        <f>day(EOMONTH(T2,0))</f>
        <v>31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46082.0</v>
      </c>
      <c r="F2" s="12">
        <f t="shared" ref="F2:AI2" si="1">IF(MONTH(E2+1)=MONTH(EOMONTH($E$2,0)),E2+1,"")</f>
        <v>46083</v>
      </c>
      <c r="G2" s="12">
        <f t="shared" si="1"/>
        <v>46084</v>
      </c>
      <c r="H2" s="12">
        <f t="shared" si="1"/>
        <v>46085</v>
      </c>
      <c r="I2" s="12">
        <f t="shared" si="1"/>
        <v>46086</v>
      </c>
      <c r="J2" s="12">
        <f t="shared" si="1"/>
        <v>46087</v>
      </c>
      <c r="K2" s="12">
        <f t="shared" si="1"/>
        <v>46088</v>
      </c>
      <c r="L2" s="12">
        <f t="shared" si="1"/>
        <v>46089</v>
      </c>
      <c r="M2" s="12">
        <f t="shared" si="1"/>
        <v>46090</v>
      </c>
      <c r="N2" s="12">
        <f t="shared" si="1"/>
        <v>46091</v>
      </c>
      <c r="O2" s="12">
        <f t="shared" si="1"/>
        <v>46092</v>
      </c>
      <c r="P2" s="12">
        <f t="shared" si="1"/>
        <v>46093</v>
      </c>
      <c r="Q2" s="12">
        <f t="shared" si="1"/>
        <v>46094</v>
      </c>
      <c r="R2" s="12">
        <f t="shared" si="1"/>
        <v>46095</v>
      </c>
      <c r="S2" s="12">
        <f t="shared" si="1"/>
        <v>46096</v>
      </c>
      <c r="T2" s="12">
        <f t="shared" si="1"/>
        <v>46097</v>
      </c>
      <c r="U2" s="12">
        <f t="shared" si="1"/>
        <v>46098</v>
      </c>
      <c r="V2" s="12">
        <f t="shared" si="1"/>
        <v>46099</v>
      </c>
      <c r="W2" s="12">
        <f t="shared" si="1"/>
        <v>46100</v>
      </c>
      <c r="X2" s="12">
        <f t="shared" si="1"/>
        <v>46101</v>
      </c>
      <c r="Y2" s="12">
        <f t="shared" si="1"/>
        <v>46102</v>
      </c>
      <c r="Z2" s="12">
        <f t="shared" si="1"/>
        <v>46103</v>
      </c>
      <c r="AA2" s="12">
        <f t="shared" si="1"/>
        <v>46104</v>
      </c>
      <c r="AB2" s="12">
        <f t="shared" si="1"/>
        <v>46105</v>
      </c>
      <c r="AC2" s="12">
        <f t="shared" si="1"/>
        <v>46106</v>
      </c>
      <c r="AD2" s="12">
        <f t="shared" si="1"/>
        <v>46107</v>
      </c>
      <c r="AE2" s="12">
        <f t="shared" si="1"/>
        <v>46108</v>
      </c>
      <c r="AF2" s="12">
        <f t="shared" si="1"/>
        <v>46109</v>
      </c>
      <c r="AG2" s="12">
        <f t="shared" si="1"/>
        <v>46110</v>
      </c>
      <c r="AH2" s="12">
        <f t="shared" si="1"/>
        <v>46111</v>
      </c>
      <c r="AI2" s="12">
        <f t="shared" si="1"/>
        <v>46112</v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46082</v>
      </c>
      <c r="F3" s="17">
        <f t="shared" si="2"/>
        <v>46083</v>
      </c>
      <c r="G3" s="17">
        <f t="shared" si="2"/>
        <v>46084</v>
      </c>
      <c r="H3" s="17">
        <f t="shared" si="2"/>
        <v>46085</v>
      </c>
      <c r="I3" s="17">
        <f t="shared" si="2"/>
        <v>46086</v>
      </c>
      <c r="J3" s="17">
        <f t="shared" si="2"/>
        <v>46087</v>
      </c>
      <c r="K3" s="17">
        <f t="shared" si="2"/>
        <v>46088</v>
      </c>
      <c r="L3" s="17">
        <f t="shared" si="2"/>
        <v>46089</v>
      </c>
      <c r="M3" s="17">
        <f t="shared" si="2"/>
        <v>46090</v>
      </c>
      <c r="N3" s="17">
        <f t="shared" si="2"/>
        <v>46091</v>
      </c>
      <c r="O3" s="17">
        <f t="shared" si="2"/>
        <v>46092</v>
      </c>
      <c r="P3" s="17">
        <f t="shared" si="2"/>
        <v>46093</v>
      </c>
      <c r="Q3" s="17">
        <f t="shared" si="2"/>
        <v>46094</v>
      </c>
      <c r="R3" s="17">
        <f t="shared" si="2"/>
        <v>46095</v>
      </c>
      <c r="S3" s="17">
        <f t="shared" si="2"/>
        <v>46096</v>
      </c>
      <c r="T3" s="17">
        <f t="shared" si="2"/>
        <v>46097</v>
      </c>
      <c r="U3" s="17">
        <f t="shared" si="2"/>
        <v>46098</v>
      </c>
      <c r="V3" s="17">
        <f t="shared" si="2"/>
        <v>46099</v>
      </c>
      <c r="W3" s="17">
        <f t="shared" si="2"/>
        <v>46100</v>
      </c>
      <c r="X3" s="17">
        <f t="shared" si="2"/>
        <v>46101</v>
      </c>
      <c r="Y3" s="17">
        <f t="shared" si="2"/>
        <v>46102</v>
      </c>
      <c r="Z3" s="17">
        <f t="shared" si="2"/>
        <v>46103</v>
      </c>
      <c r="AA3" s="17">
        <f t="shared" si="2"/>
        <v>46104</v>
      </c>
      <c r="AB3" s="17">
        <f t="shared" si="2"/>
        <v>46105</v>
      </c>
      <c r="AC3" s="17">
        <f t="shared" si="2"/>
        <v>46106</v>
      </c>
      <c r="AD3" s="17">
        <f t="shared" si="2"/>
        <v>46107</v>
      </c>
      <c r="AE3" s="17">
        <f t="shared" si="2"/>
        <v>46108</v>
      </c>
      <c r="AF3" s="17">
        <f t="shared" si="2"/>
        <v>46109</v>
      </c>
      <c r="AG3" s="17">
        <f t="shared" si="2"/>
        <v>46110</v>
      </c>
      <c r="AH3" s="17">
        <f t="shared" si="2"/>
        <v>46111</v>
      </c>
      <c r="AI3" s="17">
        <f t="shared" si="2"/>
        <v>46112</v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7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100" t="s">
        <v>13</v>
      </c>
      <c r="G4" s="85" t="s">
        <v>13</v>
      </c>
      <c r="H4" s="67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34" t="s">
        <v>13</v>
      </c>
      <c r="P4" s="67" t="s">
        <v>13</v>
      </c>
      <c r="Q4" s="101" t="s">
        <v>13</v>
      </c>
      <c r="R4" s="34" t="s">
        <v>13</v>
      </c>
      <c r="S4" s="34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 t="s">
        <v>13</v>
      </c>
      <c r="Z4" s="23" t="s">
        <v>13</v>
      </c>
      <c r="AA4" s="67" t="s">
        <v>13</v>
      </c>
      <c r="AB4" s="67" t="s">
        <v>13</v>
      </c>
      <c r="AC4" s="67" t="s">
        <v>13</v>
      </c>
      <c r="AD4" s="67" t="s">
        <v>13</v>
      </c>
      <c r="AE4" s="67" t="s">
        <v>13</v>
      </c>
      <c r="AF4" s="67" t="s">
        <v>13</v>
      </c>
      <c r="AG4" s="67" t="s">
        <v>13</v>
      </c>
      <c r="AH4" s="67" t="s">
        <v>13</v>
      </c>
      <c r="AI4" s="67" t="s">
        <v>13</v>
      </c>
      <c r="AJ4" s="24">
        <f t="shared" ref="AJ4:AJ17" si="4">if(countif($E4:$AI4,AJ$3)&gt;day(EOMONTH($T$2,0)),"Error",countif($E4:$AI4,AJ$3))+ sum((AL4)/2)</f>
        <v>31</v>
      </c>
      <c r="AK4" s="24">
        <f t="shared" ref="AK4:AK17" si="5">countif($E4:$AI4,AK$3)+(sum(AL4)/2)</f>
        <v>0</v>
      </c>
      <c r="AL4" s="24">
        <f t="shared" ref="AL4:AL17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33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85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101" t="s">
        <v>13</v>
      </c>
      <c r="R5" s="23" t="s">
        <v>13</v>
      </c>
      <c r="S5" s="34" t="s">
        <v>13</v>
      </c>
      <c r="T5" s="23" t="s">
        <v>20</v>
      </c>
      <c r="U5" s="23" t="s">
        <v>20</v>
      </c>
      <c r="V5" s="23" t="s">
        <v>20</v>
      </c>
      <c r="W5" s="34" t="s">
        <v>20</v>
      </c>
      <c r="X5" s="23" t="s">
        <v>20</v>
      </c>
      <c r="Y5" s="23" t="s">
        <v>20</v>
      </c>
      <c r="Z5" s="23" t="s">
        <v>20</v>
      </c>
      <c r="AA5" s="67" t="s">
        <v>20</v>
      </c>
      <c r="AB5" s="67" t="s">
        <v>20</v>
      </c>
      <c r="AC5" s="67" t="s">
        <v>20</v>
      </c>
      <c r="AD5" s="23" t="s">
        <v>20</v>
      </c>
      <c r="AE5" s="23" t="s">
        <v>20</v>
      </c>
      <c r="AF5" s="23" t="s">
        <v>20</v>
      </c>
      <c r="AG5" s="23" t="s">
        <v>20</v>
      </c>
      <c r="AH5" s="23" t="s">
        <v>20</v>
      </c>
      <c r="AI5" s="23" t="s">
        <v>20</v>
      </c>
      <c r="AJ5" s="24">
        <f t="shared" si="4"/>
        <v>15</v>
      </c>
      <c r="AK5" s="24">
        <f t="shared" si="5"/>
        <v>16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16</v>
      </c>
      <c r="AN5" s="70"/>
      <c r="AO5" s="71"/>
    </row>
    <row r="6" ht="19.5" customHeight="1">
      <c r="A6" s="20" t="str">
        <f t="shared" si="3"/>
        <v>DanishChefIndian</v>
      </c>
      <c r="B6" s="21" t="s">
        <v>43</v>
      </c>
      <c r="C6" s="22" t="s">
        <v>18</v>
      </c>
      <c r="D6" s="22" t="s">
        <v>33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101" t="s">
        <v>13</v>
      </c>
      <c r="R6" s="23" t="s">
        <v>13</v>
      </c>
      <c r="S6" s="34" t="s">
        <v>20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 t="s">
        <v>20</v>
      </c>
      <c r="Z6" s="23" t="s">
        <v>13</v>
      </c>
      <c r="AA6" s="67" t="s">
        <v>13</v>
      </c>
      <c r="AB6" s="67" t="s">
        <v>13</v>
      </c>
      <c r="AC6" s="67" t="s">
        <v>13</v>
      </c>
      <c r="AD6" s="23" t="s">
        <v>13</v>
      </c>
      <c r="AE6" s="23" t="s">
        <v>13</v>
      </c>
      <c r="AF6" s="23" t="s">
        <v>13</v>
      </c>
      <c r="AG6" s="23" t="s">
        <v>13</v>
      </c>
      <c r="AH6" s="23" t="s">
        <v>13</v>
      </c>
      <c r="AI6" s="23" t="s">
        <v>13</v>
      </c>
      <c r="AJ6" s="24">
        <f t="shared" si="4"/>
        <v>29</v>
      </c>
      <c r="AK6" s="24">
        <f t="shared" si="5"/>
        <v>2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31</v>
      </c>
      <c r="AN6" s="70"/>
      <c r="AO6" s="87"/>
    </row>
    <row r="7" ht="19.5" customHeight="1">
      <c r="A7" s="20" t="str">
        <f t="shared" si="3"/>
        <v>WakilHelperTandoor</v>
      </c>
      <c r="B7" s="21" t="s">
        <v>24</v>
      </c>
      <c r="C7" s="20" t="s">
        <v>15</v>
      </c>
      <c r="D7" s="20" t="s">
        <v>19</v>
      </c>
      <c r="E7" s="23" t="s">
        <v>13</v>
      </c>
      <c r="F7" s="23" t="s">
        <v>34</v>
      </c>
      <c r="G7" s="23" t="s">
        <v>13</v>
      </c>
      <c r="H7" s="23" t="s">
        <v>13</v>
      </c>
      <c r="I7" s="23" t="s">
        <v>13</v>
      </c>
      <c r="J7" s="23" t="s">
        <v>13</v>
      </c>
      <c r="K7" s="67" t="s">
        <v>13</v>
      </c>
      <c r="L7" s="23" t="s">
        <v>13</v>
      </c>
      <c r="M7" s="23" t="s">
        <v>13</v>
      </c>
      <c r="N7" s="23" t="s">
        <v>13</v>
      </c>
      <c r="O7" s="23" t="s">
        <v>13</v>
      </c>
      <c r="P7" s="23" t="s">
        <v>34</v>
      </c>
      <c r="Q7" s="23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23" t="s">
        <v>13</v>
      </c>
      <c r="X7" s="23" t="s">
        <v>13</v>
      </c>
      <c r="Y7" s="23" t="s">
        <v>20</v>
      </c>
      <c r="Z7" s="23" t="s">
        <v>13</v>
      </c>
      <c r="AA7" s="23" t="s">
        <v>13</v>
      </c>
      <c r="AB7" s="23" t="s">
        <v>13</v>
      </c>
      <c r="AC7" s="23" t="s">
        <v>13</v>
      </c>
      <c r="AD7" s="23" t="s">
        <v>13</v>
      </c>
      <c r="AE7" s="23" t="s">
        <v>13</v>
      </c>
      <c r="AF7" s="23" t="s">
        <v>13</v>
      </c>
      <c r="AG7" s="23" t="s">
        <v>13</v>
      </c>
      <c r="AH7" s="23" t="s">
        <v>13</v>
      </c>
      <c r="AI7" s="23" t="s">
        <v>13</v>
      </c>
      <c r="AJ7" s="24">
        <f t="shared" si="4"/>
        <v>29</v>
      </c>
      <c r="AK7" s="24">
        <f t="shared" si="5"/>
        <v>2</v>
      </c>
      <c r="AL7" s="24">
        <f t="shared" si="6"/>
        <v>2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32</v>
      </c>
      <c r="AN7" s="70"/>
      <c r="AO7" s="68"/>
    </row>
    <row r="8" ht="19.5" customHeight="1">
      <c r="A8" s="20" t="str">
        <f t="shared" si="3"/>
        <v>SuhailWaiterService</v>
      </c>
      <c r="B8" s="21" t="s">
        <v>21</v>
      </c>
      <c r="C8" s="20" t="s">
        <v>22</v>
      </c>
      <c r="D8" s="20" t="s">
        <v>12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13</v>
      </c>
      <c r="R8" s="23" t="s">
        <v>13</v>
      </c>
      <c r="S8" s="23" t="s">
        <v>20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 t="s">
        <v>20</v>
      </c>
      <c r="Z8" s="23" t="s">
        <v>13</v>
      </c>
      <c r="AA8" s="23" t="s">
        <v>13</v>
      </c>
      <c r="AB8" s="23" t="s">
        <v>13</v>
      </c>
      <c r="AC8" s="23" t="s">
        <v>13</v>
      </c>
      <c r="AD8" s="23" t="s">
        <v>13</v>
      </c>
      <c r="AE8" s="23" t="s">
        <v>13</v>
      </c>
      <c r="AF8" s="23" t="s">
        <v>13</v>
      </c>
      <c r="AG8" s="23" t="s">
        <v>13</v>
      </c>
      <c r="AH8" s="23" t="s">
        <v>13</v>
      </c>
      <c r="AI8" s="23" t="s">
        <v>13</v>
      </c>
      <c r="AJ8" s="24">
        <f t="shared" si="4"/>
        <v>29</v>
      </c>
      <c r="AK8" s="24">
        <f t="shared" si="5"/>
        <v>2</v>
      </c>
      <c r="AL8" s="24">
        <f t="shared" si="6"/>
        <v>0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31</v>
      </c>
      <c r="AN8" s="69"/>
      <c r="AO8" s="68"/>
    </row>
    <row r="9" ht="19.5" customHeight="1">
      <c r="A9" s="20" t="str">
        <f t="shared" si="3"/>
        <v>NaseemSupervisorSupervisor</v>
      </c>
      <c r="B9" s="81" t="s">
        <v>26</v>
      </c>
      <c r="C9" s="81" t="s">
        <v>27</v>
      </c>
      <c r="D9" s="81" t="s">
        <v>27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4">
        <f t="shared" si="4"/>
        <v>31</v>
      </c>
      <c r="AK9" s="24">
        <f t="shared" si="5"/>
        <v>0</v>
      </c>
      <c r="AL9" s="24">
        <f t="shared" si="6"/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33</v>
      </c>
      <c r="AN9" s="69"/>
      <c r="AO9" s="68"/>
    </row>
    <row r="10" ht="19.5" customHeight="1">
      <c r="A10" s="20" t="str">
        <f t="shared" si="3"/>
        <v>DineshWaiterService</v>
      </c>
      <c r="B10" s="81" t="s">
        <v>80</v>
      </c>
      <c r="C10" s="81" t="s">
        <v>22</v>
      </c>
      <c r="D10" s="81" t="s">
        <v>12</v>
      </c>
      <c r="E10" s="23" t="s">
        <v>13</v>
      </c>
      <c r="F10" s="23" t="s">
        <v>20</v>
      </c>
      <c r="G10" s="23" t="s">
        <v>13</v>
      </c>
      <c r="H10" s="23" t="s">
        <v>13</v>
      </c>
      <c r="I10" s="23" t="s">
        <v>13</v>
      </c>
      <c r="J10" s="23" t="s">
        <v>13</v>
      </c>
      <c r="K10" s="67" t="s">
        <v>13</v>
      </c>
      <c r="L10" s="23" t="s">
        <v>13</v>
      </c>
      <c r="M10" s="23" t="s">
        <v>34</v>
      </c>
      <c r="N10" s="23" t="s">
        <v>13</v>
      </c>
      <c r="O10" s="23" t="s">
        <v>13</v>
      </c>
      <c r="P10" s="23" t="s">
        <v>13</v>
      </c>
      <c r="Q10" s="23" t="s">
        <v>13</v>
      </c>
      <c r="R10" s="23" t="s">
        <v>13</v>
      </c>
      <c r="S10" s="23" t="s">
        <v>13</v>
      </c>
      <c r="T10" s="23" t="s">
        <v>34</v>
      </c>
      <c r="U10" s="23" t="s">
        <v>13</v>
      </c>
      <c r="V10" s="23" t="s">
        <v>13</v>
      </c>
      <c r="W10" s="23" t="s">
        <v>13</v>
      </c>
      <c r="X10" s="23" t="s">
        <v>13</v>
      </c>
      <c r="Y10" s="23" t="s">
        <v>13</v>
      </c>
      <c r="Z10" s="23" t="s">
        <v>13</v>
      </c>
      <c r="AA10" s="23" t="s">
        <v>13</v>
      </c>
      <c r="AB10" s="23" t="s">
        <v>13</v>
      </c>
      <c r="AC10" s="23" t="s">
        <v>13</v>
      </c>
      <c r="AD10" s="23" t="s">
        <v>13</v>
      </c>
      <c r="AE10" s="23" t="s">
        <v>13</v>
      </c>
      <c r="AF10" s="23" t="s">
        <v>13</v>
      </c>
      <c r="AG10" s="23" t="s">
        <v>13</v>
      </c>
      <c r="AH10" s="23" t="s">
        <v>13</v>
      </c>
      <c r="AI10" s="23" t="s">
        <v>13</v>
      </c>
      <c r="AJ10" s="24">
        <f t="shared" si="4"/>
        <v>29</v>
      </c>
      <c r="AK10" s="24">
        <f t="shared" si="5"/>
        <v>2</v>
      </c>
      <c r="AL10" s="24">
        <f t="shared" si="6"/>
        <v>2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32</v>
      </c>
      <c r="AN10" s="69"/>
      <c r="AO10" s="68"/>
    </row>
    <row r="11" ht="19.5" customHeight="1">
      <c r="A11" s="20" t="str">
        <f t="shared" si="3"/>
        <v>AasifChefIndian</v>
      </c>
      <c r="B11" s="81" t="s">
        <v>32</v>
      </c>
      <c r="C11" s="81" t="s">
        <v>18</v>
      </c>
      <c r="D11" s="81" t="s">
        <v>33</v>
      </c>
      <c r="E11" s="23" t="s">
        <v>13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67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38</v>
      </c>
      <c r="V11" s="23" t="s">
        <v>38</v>
      </c>
      <c r="W11" s="23" t="s">
        <v>38</v>
      </c>
      <c r="X11" s="23" t="s">
        <v>38</v>
      </c>
      <c r="Y11" s="23" t="s">
        <v>38</v>
      </c>
      <c r="Z11" s="23" t="s">
        <v>38</v>
      </c>
      <c r="AA11" s="23" t="s">
        <v>38</v>
      </c>
      <c r="AB11" s="23" t="s">
        <v>38</v>
      </c>
      <c r="AC11" s="23" t="s">
        <v>38</v>
      </c>
      <c r="AD11" s="23" t="s">
        <v>38</v>
      </c>
      <c r="AE11" s="23" t="s">
        <v>38</v>
      </c>
      <c r="AF11" s="23" t="s">
        <v>38</v>
      </c>
      <c r="AG11" s="23" t="s">
        <v>38</v>
      </c>
      <c r="AH11" s="23" t="s">
        <v>38</v>
      </c>
      <c r="AI11" s="23" t="s">
        <v>38</v>
      </c>
      <c r="AJ11" s="24">
        <f t="shared" si="4"/>
        <v>16</v>
      </c>
      <c r="AK11" s="24">
        <f t="shared" si="5"/>
        <v>0</v>
      </c>
      <c r="AL11" s="24">
        <f t="shared" si="6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17</v>
      </c>
      <c r="AN11" s="70"/>
      <c r="AO11" s="68"/>
    </row>
    <row r="12" ht="19.5" customHeight="1">
      <c r="A12" s="20" t="str">
        <f t="shared" si="3"/>
        <v>NoorHelperIndian</v>
      </c>
      <c r="B12" s="81" t="s">
        <v>77</v>
      </c>
      <c r="C12" s="81" t="s">
        <v>15</v>
      </c>
      <c r="D12" s="81" t="s">
        <v>33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67" t="s">
        <v>13</v>
      </c>
      <c r="L12" s="23" t="s">
        <v>13</v>
      </c>
      <c r="M12" s="23" t="s">
        <v>13</v>
      </c>
      <c r="N12" s="23" t="s">
        <v>13</v>
      </c>
      <c r="O12" s="23" t="s">
        <v>13</v>
      </c>
      <c r="P12" s="23" t="s">
        <v>13</v>
      </c>
      <c r="Q12" s="23" t="s">
        <v>13</v>
      </c>
      <c r="R12" s="23" t="s">
        <v>13</v>
      </c>
      <c r="S12" s="23" t="s">
        <v>13</v>
      </c>
      <c r="T12" s="23" t="s">
        <v>13</v>
      </c>
      <c r="U12" s="23" t="s">
        <v>13</v>
      </c>
      <c r="V12" s="23" t="s">
        <v>13</v>
      </c>
      <c r="W12" s="23" t="s">
        <v>13</v>
      </c>
      <c r="X12" s="23" t="s">
        <v>13</v>
      </c>
      <c r="Y12" s="23" t="s">
        <v>20</v>
      </c>
      <c r="Z12" s="23" t="s">
        <v>13</v>
      </c>
      <c r="AA12" s="23" t="s">
        <v>13</v>
      </c>
      <c r="AB12" s="23" t="s">
        <v>13</v>
      </c>
      <c r="AC12" s="23" t="s">
        <v>13</v>
      </c>
      <c r="AD12" s="23" t="s">
        <v>13</v>
      </c>
      <c r="AE12" s="23" t="s">
        <v>13</v>
      </c>
      <c r="AF12" s="23" t="s">
        <v>13</v>
      </c>
      <c r="AG12" s="23" t="s">
        <v>13</v>
      </c>
      <c r="AH12" s="23" t="s">
        <v>13</v>
      </c>
      <c r="AI12" s="23" t="s">
        <v>13</v>
      </c>
      <c r="AJ12" s="24">
        <f t="shared" si="4"/>
        <v>30</v>
      </c>
      <c r="AK12" s="24">
        <f t="shared" si="5"/>
        <v>1</v>
      </c>
      <c r="AL12" s="24">
        <f t="shared" si="6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32</v>
      </c>
      <c r="AN12" s="69"/>
      <c r="AO12" s="68"/>
    </row>
    <row r="13" ht="19.5" customHeight="1">
      <c r="A13" s="20" t="str">
        <f t="shared" si="3"/>
        <v>ManoharWaiterService</v>
      </c>
      <c r="B13" s="81" t="s">
        <v>78</v>
      </c>
      <c r="C13" s="81" t="s">
        <v>22</v>
      </c>
      <c r="D13" s="81" t="s">
        <v>12</v>
      </c>
      <c r="E13" s="23" t="s">
        <v>13</v>
      </c>
      <c r="F13" s="23" t="s">
        <v>13</v>
      </c>
      <c r="G13" s="23" t="s">
        <v>13</v>
      </c>
      <c r="H13" s="34" t="s">
        <v>13</v>
      </c>
      <c r="I13" s="23" t="s">
        <v>20</v>
      </c>
      <c r="J13" s="23" t="s">
        <v>13</v>
      </c>
      <c r="K13" s="67" t="s">
        <v>13</v>
      </c>
      <c r="L13" s="23" t="s">
        <v>13</v>
      </c>
      <c r="M13" s="23" t="s">
        <v>13</v>
      </c>
      <c r="N13" s="23" t="s">
        <v>13</v>
      </c>
      <c r="O13" s="23" t="s">
        <v>13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20</v>
      </c>
      <c r="U13" s="23" t="s">
        <v>13</v>
      </c>
      <c r="V13" s="23" t="s">
        <v>13</v>
      </c>
      <c r="W13" s="23" t="s">
        <v>13</v>
      </c>
      <c r="X13" s="23" t="s">
        <v>13</v>
      </c>
      <c r="Y13" s="23" t="s">
        <v>13</v>
      </c>
      <c r="Z13" s="23" t="s">
        <v>13</v>
      </c>
      <c r="AA13" s="23" t="s">
        <v>13</v>
      </c>
      <c r="AB13" s="23" t="s">
        <v>13</v>
      </c>
      <c r="AC13" s="23" t="s">
        <v>13</v>
      </c>
      <c r="AD13" s="23" t="s">
        <v>13</v>
      </c>
      <c r="AE13" s="23" t="s">
        <v>13</v>
      </c>
      <c r="AF13" s="23" t="s">
        <v>13</v>
      </c>
      <c r="AG13" s="23" t="s">
        <v>13</v>
      </c>
      <c r="AH13" s="23" t="s">
        <v>13</v>
      </c>
      <c r="AI13" s="23" t="s">
        <v>13</v>
      </c>
      <c r="AJ13" s="24">
        <f t="shared" si="4"/>
        <v>29</v>
      </c>
      <c r="AK13" s="24">
        <f t="shared" si="5"/>
        <v>2</v>
      </c>
      <c r="AL13" s="24">
        <f t="shared" si="6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31</v>
      </c>
      <c r="AN13" s="70"/>
      <c r="AO13" s="68"/>
    </row>
    <row r="14" ht="19.5" customHeight="1">
      <c r="A14" s="20" t="str">
        <f t="shared" si="3"/>
        <v>VIjayChefTandoor</v>
      </c>
      <c r="B14" s="81" t="s">
        <v>81</v>
      </c>
      <c r="C14" s="81" t="s">
        <v>18</v>
      </c>
      <c r="D14" s="81" t="s">
        <v>19</v>
      </c>
      <c r="E14" s="23" t="s">
        <v>13</v>
      </c>
      <c r="F14" s="23" t="s">
        <v>13</v>
      </c>
      <c r="G14" s="23" t="s">
        <v>13</v>
      </c>
      <c r="H14" s="34" t="s">
        <v>13</v>
      </c>
      <c r="I14" s="23" t="s">
        <v>13</v>
      </c>
      <c r="J14" s="23" t="s">
        <v>13</v>
      </c>
      <c r="K14" s="67" t="s">
        <v>13</v>
      </c>
      <c r="L14" s="23" t="s">
        <v>13</v>
      </c>
      <c r="M14" s="23" t="s">
        <v>34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13</v>
      </c>
      <c r="S14" s="23" t="s">
        <v>13</v>
      </c>
      <c r="T14" s="23" t="s">
        <v>34</v>
      </c>
      <c r="U14" s="23" t="s">
        <v>13</v>
      </c>
      <c r="V14" s="23" t="s">
        <v>13</v>
      </c>
      <c r="W14" s="23" t="s">
        <v>13</v>
      </c>
      <c r="X14" s="23" t="s">
        <v>13</v>
      </c>
      <c r="Y14" s="23" t="s">
        <v>13</v>
      </c>
      <c r="Z14" s="23" t="s">
        <v>13</v>
      </c>
      <c r="AA14" s="23" t="s">
        <v>34</v>
      </c>
      <c r="AB14" s="23" t="s">
        <v>34</v>
      </c>
      <c r="AC14" s="23" t="s">
        <v>13</v>
      </c>
      <c r="AD14" s="23" t="s">
        <v>13</v>
      </c>
      <c r="AE14" s="23" t="s">
        <v>13</v>
      </c>
      <c r="AF14" s="23" t="s">
        <v>13</v>
      </c>
      <c r="AG14" s="23" t="s">
        <v>13</v>
      </c>
      <c r="AH14" s="23" t="s">
        <v>13</v>
      </c>
      <c r="AI14" s="23" t="s">
        <v>13</v>
      </c>
      <c r="AJ14" s="24">
        <f t="shared" si="4"/>
        <v>29</v>
      </c>
      <c r="AK14" s="24">
        <f t="shared" si="5"/>
        <v>2</v>
      </c>
      <c r="AL14" s="24">
        <f t="shared" si="6"/>
        <v>4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33</v>
      </c>
      <c r="AN14" s="69"/>
      <c r="AO14" s="68"/>
    </row>
    <row r="15" ht="19.5" customHeight="1">
      <c r="A15" s="20" t="str">
        <f t="shared" si="3"/>
        <v>RakeshHelperChinese</v>
      </c>
      <c r="B15" s="81" t="s">
        <v>83</v>
      </c>
      <c r="C15" s="81" t="s">
        <v>15</v>
      </c>
      <c r="D15" s="81" t="s">
        <v>40</v>
      </c>
      <c r="E15" s="23" t="s">
        <v>13</v>
      </c>
      <c r="F15" s="23" t="s">
        <v>13</v>
      </c>
      <c r="G15" s="23" t="s">
        <v>13</v>
      </c>
      <c r="H15" s="34" t="s">
        <v>13</v>
      </c>
      <c r="I15" s="23" t="s">
        <v>13</v>
      </c>
      <c r="J15" s="23" t="s">
        <v>13</v>
      </c>
      <c r="K15" s="67" t="s">
        <v>13</v>
      </c>
      <c r="L15" s="23" t="s">
        <v>13</v>
      </c>
      <c r="M15" s="23" t="s">
        <v>20</v>
      </c>
      <c r="N15" s="23" t="s">
        <v>13</v>
      </c>
      <c r="O15" s="23" t="s">
        <v>34</v>
      </c>
      <c r="P15" s="23" t="s">
        <v>13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34</v>
      </c>
      <c r="W15" s="23" t="s">
        <v>13</v>
      </c>
      <c r="X15" s="23" t="s">
        <v>13</v>
      </c>
      <c r="Y15" s="23" t="s">
        <v>13</v>
      </c>
      <c r="Z15" s="23" t="s">
        <v>13</v>
      </c>
      <c r="AA15" s="23" t="s">
        <v>13</v>
      </c>
      <c r="AB15" s="23" t="s">
        <v>13</v>
      </c>
      <c r="AC15" s="23" t="s">
        <v>13</v>
      </c>
      <c r="AD15" s="23" t="s">
        <v>34</v>
      </c>
      <c r="AE15" s="23" t="s">
        <v>13</v>
      </c>
      <c r="AF15" s="23" t="s">
        <v>13</v>
      </c>
      <c r="AG15" s="23" t="s">
        <v>13</v>
      </c>
      <c r="AH15" s="23" t="s">
        <v>13</v>
      </c>
      <c r="AI15" s="23" t="s">
        <v>13</v>
      </c>
      <c r="AJ15" s="24">
        <f t="shared" si="4"/>
        <v>28.5</v>
      </c>
      <c r="AK15" s="24">
        <f t="shared" si="5"/>
        <v>2.5</v>
      </c>
      <c r="AL15" s="24">
        <f t="shared" si="6"/>
        <v>3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32</v>
      </c>
      <c r="AN15" s="69"/>
      <c r="AO15" s="68"/>
    </row>
    <row r="16" ht="19.5" customHeight="1">
      <c r="A16" s="20" t="str">
        <f t="shared" si="3"/>
        <v>UmeshManagerManager</v>
      </c>
      <c r="B16" s="81" t="s">
        <v>84</v>
      </c>
      <c r="C16" s="81" t="s">
        <v>37</v>
      </c>
      <c r="D16" s="81" t="s">
        <v>37</v>
      </c>
      <c r="E16" s="23" t="s">
        <v>13</v>
      </c>
      <c r="F16" s="23" t="s">
        <v>13</v>
      </c>
      <c r="G16" s="23" t="s">
        <v>13</v>
      </c>
      <c r="H16" s="34" t="s">
        <v>13</v>
      </c>
      <c r="I16" s="23" t="s">
        <v>20</v>
      </c>
      <c r="J16" s="23" t="s">
        <v>13</v>
      </c>
      <c r="K16" s="67" t="s">
        <v>13</v>
      </c>
      <c r="L16" s="23" t="s">
        <v>20</v>
      </c>
      <c r="M16" s="23" t="s">
        <v>13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20</v>
      </c>
      <c r="U16" s="23" t="s">
        <v>13</v>
      </c>
      <c r="V16" s="23" t="s">
        <v>13</v>
      </c>
      <c r="W16" s="23" t="s">
        <v>13</v>
      </c>
      <c r="X16" s="23" t="s">
        <v>13</v>
      </c>
      <c r="Y16" s="23" t="s">
        <v>13</v>
      </c>
      <c r="Z16" s="23" t="s">
        <v>13</v>
      </c>
      <c r="AA16" s="23" t="s">
        <v>13</v>
      </c>
      <c r="AB16" s="23" t="s">
        <v>13</v>
      </c>
      <c r="AC16" s="23" t="s">
        <v>13</v>
      </c>
      <c r="AD16" s="23" t="s">
        <v>20</v>
      </c>
      <c r="AE16" s="23" t="s">
        <v>13</v>
      </c>
      <c r="AF16" s="23" t="s">
        <v>13</v>
      </c>
      <c r="AG16" s="23" t="s">
        <v>13</v>
      </c>
      <c r="AH16" s="23" t="s">
        <v>13</v>
      </c>
      <c r="AI16" s="23" t="s">
        <v>13</v>
      </c>
      <c r="AJ16" s="24">
        <f t="shared" si="4"/>
        <v>27</v>
      </c>
      <c r="AK16" s="24">
        <f t="shared" si="5"/>
        <v>4</v>
      </c>
      <c r="AL16" s="24">
        <f t="shared" si="6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28</v>
      </c>
      <c r="AN16" s="69"/>
      <c r="AO16" s="68"/>
    </row>
    <row r="17" ht="19.5" customHeight="1">
      <c r="A17" s="20" t="str">
        <f t="shared" si="3"/>
        <v>AbhishekHelperMori</v>
      </c>
      <c r="B17" s="81" t="s">
        <v>82</v>
      </c>
      <c r="C17" s="81" t="s">
        <v>15</v>
      </c>
      <c r="D17" s="81" t="s">
        <v>16</v>
      </c>
      <c r="E17" s="23" t="s">
        <v>13</v>
      </c>
      <c r="F17" s="23" t="s">
        <v>13</v>
      </c>
      <c r="G17" s="23" t="s">
        <v>13</v>
      </c>
      <c r="H17" s="34" t="s">
        <v>13</v>
      </c>
      <c r="I17" s="23" t="s">
        <v>13</v>
      </c>
      <c r="J17" s="23" t="s">
        <v>13</v>
      </c>
      <c r="K17" s="67" t="s">
        <v>13</v>
      </c>
      <c r="L17" s="23" t="s">
        <v>20</v>
      </c>
      <c r="M17" s="23" t="s">
        <v>13</v>
      </c>
      <c r="N17" s="23" t="s">
        <v>34</v>
      </c>
      <c r="O17" s="23" t="s">
        <v>34</v>
      </c>
      <c r="P17" s="23" t="s">
        <v>13</v>
      </c>
      <c r="Q17" s="23" t="s">
        <v>13</v>
      </c>
      <c r="R17" s="23" t="s">
        <v>13</v>
      </c>
      <c r="S17" s="23" t="s">
        <v>13</v>
      </c>
      <c r="T17" s="23" t="s">
        <v>13</v>
      </c>
      <c r="U17" s="23" t="s">
        <v>13</v>
      </c>
      <c r="V17" s="23" t="s">
        <v>13</v>
      </c>
      <c r="W17" s="23" t="s">
        <v>13</v>
      </c>
      <c r="X17" s="23" t="s">
        <v>13</v>
      </c>
      <c r="Y17" s="23" t="s">
        <v>13</v>
      </c>
      <c r="Z17" s="23" t="s">
        <v>13</v>
      </c>
      <c r="AA17" s="23" t="s">
        <v>13</v>
      </c>
      <c r="AB17" s="23" t="s">
        <v>13</v>
      </c>
      <c r="AC17" s="23" t="s">
        <v>13</v>
      </c>
      <c r="AD17" s="23" t="s">
        <v>13</v>
      </c>
      <c r="AE17" s="23" t="s">
        <v>13</v>
      </c>
      <c r="AF17" s="23" t="s">
        <v>13</v>
      </c>
      <c r="AG17" s="23" t="s">
        <v>13</v>
      </c>
      <c r="AH17" s="23" t="s">
        <v>13</v>
      </c>
      <c r="AI17" s="23" t="s">
        <v>13</v>
      </c>
      <c r="AJ17" s="24">
        <f t="shared" si="4"/>
        <v>29</v>
      </c>
      <c r="AK17" s="24">
        <f t="shared" si="5"/>
        <v>2</v>
      </c>
      <c r="AL17" s="24">
        <f t="shared" si="6"/>
        <v>2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32</v>
      </c>
      <c r="AN17" s="69"/>
      <c r="AO17" s="68"/>
    </row>
    <row r="18" ht="19.5" customHeight="1">
      <c r="A18" s="28"/>
    </row>
    <row r="19" ht="19.5" customHeight="1">
      <c r="A19" s="28"/>
    </row>
    <row r="20" ht="19.5" customHeight="1">
      <c r="A20" s="28"/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</sheetData>
  <mergeCells count="1">
    <mergeCell ref="E1:U1"/>
  </mergeCells>
  <dataValidations>
    <dataValidation type="list" allowBlank="1" showErrorMessage="1" sqref="E4:AI17">
      <formula1>"Present,Off,Half Day,Left"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3.0"/>
    <col customWidth="1" min="2" max="2" width="16.38"/>
    <col customWidth="1" min="3" max="3" width="9.75"/>
    <col customWidth="1" min="4" max="4" width="11.25"/>
    <col customWidth="1" min="5" max="5" width="9.63"/>
    <col customWidth="1" min="6" max="34" width="6.13"/>
    <col customWidth="1" min="35" max="35" width="9.75"/>
    <col customWidth="1" min="36" max="36" width="7.63"/>
    <col customWidth="1" min="37" max="37" width="9.38"/>
    <col customWidth="1" min="38" max="38" width="8.63"/>
    <col customWidth="1" min="39" max="40" width="9.38"/>
    <col customWidth="1" min="41" max="42" width="11.5"/>
  </cols>
  <sheetData>
    <row r="1" ht="3.0" customHeight="1">
      <c r="A1" s="5"/>
      <c r="B1" s="5"/>
      <c r="C1" s="5"/>
      <c r="D1" s="6">
        <f>day(EOMONTH(T2,0))</f>
        <v>30</v>
      </c>
      <c r="E1" s="7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customise. 
"),"")</f>
        <v>
  Enter Present for Present, Off for Leave, Half Day for Half Day, and Left for Attried. Use the 'Attendance key' tab to customise. 
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61"/>
      <c r="AO1" s="62"/>
      <c r="AP1" s="61"/>
    </row>
    <row r="2" ht="40.5" customHeight="1">
      <c r="A2" s="9"/>
      <c r="B2" s="10" t="s">
        <v>5</v>
      </c>
      <c r="C2" s="10"/>
      <c r="D2" s="10"/>
      <c r="E2" s="11">
        <v>46113.0</v>
      </c>
      <c r="F2" s="12">
        <f t="shared" ref="F2:AI2" si="1">IF(MONTH(E2+1)=MONTH(EOMONTH($E$2,0)),E2+1,"")</f>
        <v>46114</v>
      </c>
      <c r="G2" s="12">
        <f t="shared" si="1"/>
        <v>46115</v>
      </c>
      <c r="H2" s="12">
        <f t="shared" si="1"/>
        <v>46116</v>
      </c>
      <c r="I2" s="12">
        <f t="shared" si="1"/>
        <v>46117</v>
      </c>
      <c r="J2" s="12">
        <f t="shared" si="1"/>
        <v>46118</v>
      </c>
      <c r="K2" s="12">
        <f t="shared" si="1"/>
        <v>46119</v>
      </c>
      <c r="L2" s="12">
        <f t="shared" si="1"/>
        <v>46120</v>
      </c>
      <c r="M2" s="12">
        <f t="shared" si="1"/>
        <v>46121</v>
      </c>
      <c r="N2" s="12">
        <f t="shared" si="1"/>
        <v>46122</v>
      </c>
      <c r="O2" s="12">
        <f t="shared" si="1"/>
        <v>46123</v>
      </c>
      <c r="P2" s="12">
        <f t="shared" si="1"/>
        <v>46124</v>
      </c>
      <c r="Q2" s="12">
        <f t="shared" si="1"/>
        <v>46125</v>
      </c>
      <c r="R2" s="12">
        <f t="shared" si="1"/>
        <v>46126</v>
      </c>
      <c r="S2" s="12">
        <f t="shared" si="1"/>
        <v>46127</v>
      </c>
      <c r="T2" s="12">
        <f t="shared" si="1"/>
        <v>46128</v>
      </c>
      <c r="U2" s="12">
        <f t="shared" si="1"/>
        <v>46129</v>
      </c>
      <c r="V2" s="12">
        <f t="shared" si="1"/>
        <v>46130</v>
      </c>
      <c r="W2" s="12">
        <f t="shared" si="1"/>
        <v>46131</v>
      </c>
      <c r="X2" s="12">
        <f t="shared" si="1"/>
        <v>46132</v>
      </c>
      <c r="Y2" s="12">
        <f t="shared" si="1"/>
        <v>46133</v>
      </c>
      <c r="Z2" s="12">
        <f t="shared" si="1"/>
        <v>46134</v>
      </c>
      <c r="AA2" s="12">
        <f t="shared" si="1"/>
        <v>46135</v>
      </c>
      <c r="AB2" s="12">
        <f t="shared" si="1"/>
        <v>46136</v>
      </c>
      <c r="AC2" s="12">
        <f t="shared" si="1"/>
        <v>46137</v>
      </c>
      <c r="AD2" s="12">
        <f t="shared" si="1"/>
        <v>46138</v>
      </c>
      <c r="AE2" s="12">
        <f t="shared" si="1"/>
        <v>46139</v>
      </c>
      <c r="AF2" s="12">
        <f t="shared" si="1"/>
        <v>46140</v>
      </c>
      <c r="AG2" s="12">
        <f t="shared" si="1"/>
        <v>46141</v>
      </c>
      <c r="AH2" s="12">
        <f t="shared" si="1"/>
        <v>46142</v>
      </c>
      <c r="AI2" s="12" t="str">
        <f t="shared" si="1"/>
        <v/>
      </c>
      <c r="AJ2" s="78" t="str">
        <f>'Attendance key'!$C7</f>
        <v>Present</v>
      </c>
      <c r="AK2" s="78" t="str">
        <f>'Attendance key'!$C8</f>
        <v>Leave</v>
      </c>
      <c r="AL2" s="79" t="str">
        <f>'Attendance key'!$C9</f>
        <v>Half Day</v>
      </c>
      <c r="AM2" s="80" t="s">
        <v>56</v>
      </c>
      <c r="AN2" s="64"/>
      <c r="AO2" s="63"/>
    </row>
    <row r="3" ht="18.0" customHeight="1">
      <c r="A3" s="15"/>
      <c r="B3" s="16" t="s">
        <v>8</v>
      </c>
      <c r="C3" s="16" t="s">
        <v>46</v>
      </c>
      <c r="D3" s="16" t="s">
        <v>9</v>
      </c>
      <c r="E3" s="17">
        <f t="shared" ref="E3:AI3" si="2">E2</f>
        <v>46113</v>
      </c>
      <c r="F3" s="17">
        <f t="shared" si="2"/>
        <v>46114</v>
      </c>
      <c r="G3" s="17">
        <f t="shared" si="2"/>
        <v>46115</v>
      </c>
      <c r="H3" s="17">
        <f t="shared" si="2"/>
        <v>46116</v>
      </c>
      <c r="I3" s="17">
        <f t="shared" si="2"/>
        <v>46117</v>
      </c>
      <c r="J3" s="17">
        <f t="shared" si="2"/>
        <v>46118</v>
      </c>
      <c r="K3" s="17">
        <f t="shared" si="2"/>
        <v>46119</v>
      </c>
      <c r="L3" s="17">
        <f t="shared" si="2"/>
        <v>46120</v>
      </c>
      <c r="M3" s="17">
        <f t="shared" si="2"/>
        <v>46121</v>
      </c>
      <c r="N3" s="17">
        <f t="shared" si="2"/>
        <v>46122</v>
      </c>
      <c r="O3" s="17">
        <f t="shared" si="2"/>
        <v>46123</v>
      </c>
      <c r="P3" s="17">
        <f t="shared" si="2"/>
        <v>46124</v>
      </c>
      <c r="Q3" s="17">
        <f t="shared" si="2"/>
        <v>46125</v>
      </c>
      <c r="R3" s="17">
        <f t="shared" si="2"/>
        <v>46126</v>
      </c>
      <c r="S3" s="17">
        <f t="shared" si="2"/>
        <v>46127</v>
      </c>
      <c r="T3" s="17">
        <f t="shared" si="2"/>
        <v>46128</v>
      </c>
      <c r="U3" s="17">
        <f t="shared" si="2"/>
        <v>46129</v>
      </c>
      <c r="V3" s="17">
        <f t="shared" si="2"/>
        <v>46130</v>
      </c>
      <c r="W3" s="17">
        <f t="shared" si="2"/>
        <v>46131</v>
      </c>
      <c r="X3" s="17">
        <f t="shared" si="2"/>
        <v>46132</v>
      </c>
      <c r="Y3" s="17">
        <f t="shared" si="2"/>
        <v>46133</v>
      </c>
      <c r="Z3" s="17">
        <f t="shared" si="2"/>
        <v>46134</v>
      </c>
      <c r="AA3" s="17">
        <f t="shared" si="2"/>
        <v>46135</v>
      </c>
      <c r="AB3" s="17">
        <f t="shared" si="2"/>
        <v>46136</v>
      </c>
      <c r="AC3" s="17">
        <f t="shared" si="2"/>
        <v>46137</v>
      </c>
      <c r="AD3" s="17">
        <f t="shared" si="2"/>
        <v>46138</v>
      </c>
      <c r="AE3" s="17">
        <f t="shared" si="2"/>
        <v>46139</v>
      </c>
      <c r="AF3" s="17">
        <f t="shared" si="2"/>
        <v>46140</v>
      </c>
      <c r="AG3" s="17">
        <f t="shared" si="2"/>
        <v>46141</v>
      </c>
      <c r="AH3" s="17">
        <f t="shared" si="2"/>
        <v>46142</v>
      </c>
      <c r="AI3" s="17" t="str">
        <f t="shared" si="2"/>
        <v/>
      </c>
      <c r="AJ3" s="18" t="str">
        <f>'Attendance key'!$B7</f>
        <v>Present</v>
      </c>
      <c r="AK3" s="18" t="str">
        <f>'Attendance key'!$B8</f>
        <v>Off</v>
      </c>
      <c r="AL3" s="19" t="str">
        <f>'Attendance key'!$B9</f>
        <v>Half Day</v>
      </c>
      <c r="AM3" s="65"/>
      <c r="AN3" s="65" t="s">
        <v>51</v>
      </c>
      <c r="AO3" s="65" t="s">
        <v>52</v>
      </c>
    </row>
    <row r="4" ht="19.5" customHeight="1">
      <c r="A4" s="20" t="str">
        <f t="shared" ref="A4:A17" si="3">B4&amp;C4&amp;D4</f>
        <v>AkhilCaptainService</v>
      </c>
      <c r="B4" s="81" t="s">
        <v>10</v>
      </c>
      <c r="C4" s="22" t="s">
        <v>11</v>
      </c>
      <c r="D4" s="22" t="s">
        <v>12</v>
      </c>
      <c r="E4" s="85" t="s">
        <v>13</v>
      </c>
      <c r="F4" s="100" t="s">
        <v>13</v>
      </c>
      <c r="G4" s="85" t="s">
        <v>13</v>
      </c>
      <c r="H4" s="67" t="s">
        <v>13</v>
      </c>
      <c r="I4" s="85" t="s">
        <v>13</v>
      </c>
      <c r="J4" s="85" t="s">
        <v>13</v>
      </c>
      <c r="K4" s="85" t="s">
        <v>13</v>
      </c>
      <c r="L4" s="23" t="s">
        <v>13</v>
      </c>
      <c r="M4" s="23" t="s">
        <v>13</v>
      </c>
      <c r="N4" s="23" t="s">
        <v>13</v>
      </c>
      <c r="O4" s="34" t="s">
        <v>13</v>
      </c>
      <c r="P4" s="67" t="s">
        <v>13</v>
      </c>
      <c r="Q4" s="101" t="s">
        <v>13</v>
      </c>
      <c r="R4" s="34" t="s">
        <v>13</v>
      </c>
      <c r="S4" s="34" t="s">
        <v>13</v>
      </c>
      <c r="T4" s="23" t="s">
        <v>13</v>
      </c>
      <c r="U4" s="23" t="s">
        <v>13</v>
      </c>
      <c r="V4" s="23" t="s">
        <v>13</v>
      </c>
      <c r="W4" s="34" t="s">
        <v>13</v>
      </c>
      <c r="X4" s="23" t="s">
        <v>13</v>
      </c>
      <c r="Y4" s="23"/>
      <c r="Z4" s="23"/>
      <c r="AA4" s="67"/>
      <c r="AB4" s="67"/>
      <c r="AC4" s="67"/>
      <c r="AD4" s="67"/>
      <c r="AE4" s="67"/>
      <c r="AF4" s="67"/>
      <c r="AG4" s="67"/>
      <c r="AH4" s="67"/>
      <c r="AI4" s="67"/>
      <c r="AJ4" s="24">
        <f t="shared" ref="AJ4:AJ8" si="4">if(countif($E4:$AI4,AJ$3)&gt;day(EOMONTH($T$2,0)),"Error",countif($E4:$AI4,AJ$3))</f>
        <v>20</v>
      </c>
      <c r="AK4" s="24">
        <f t="shared" ref="AK4:AK8" si="5">countif($E4:$AI4,AK$3)+(sum(AL4)/2)</f>
        <v>0</v>
      </c>
      <c r="AL4" s="24">
        <f t="shared" ref="AL4:AL8" si="6">countif($E4:$AI4,AL$3)</f>
        <v>0</v>
      </c>
      <c r="AM4" s="68">
        <f>IFERROR(
  (AJ4 + AL4 * 0.5) + 
  IF(DAY(EOMONTH(E$2, 0)) = 28, VLOOKUP((AJ4 + AL4 * 0.5), Lookup!G:H, 2, FALSE),
    IF(DAY(EOMONTH(E$2, 0)) = 29, VLOOKUP((AJ4 + AL4 * 0.5), Lookup!E:F, 2, FALSE),
      IF(DAY(EOMONTH(E$2, 0)) = 30, VLOOKUP((AJ4 + AL4 * 0.5), Lookup!C:D, 2, FALSE),
        IF(DAY(EOMONTH(E$2, 0)) = 31, VLOOKUP((AJ4 + AL4 * 0.5), Lookup!A:B, 2, FALSE),
          0
        )
      )
    )
  ),
0)
</f>
        <v>21</v>
      </c>
      <c r="AN4" s="69"/>
      <c r="AO4" s="68"/>
      <c r="AP4" s="83"/>
    </row>
    <row r="5" ht="19.5" customHeight="1">
      <c r="A5" s="20" t="str">
        <f t="shared" si="3"/>
        <v>Laxmi BaiHelperMori</v>
      </c>
      <c r="B5" s="21" t="s">
        <v>14</v>
      </c>
      <c r="C5" s="22" t="s">
        <v>15</v>
      </c>
      <c r="D5" s="22" t="s">
        <v>16</v>
      </c>
      <c r="E5" s="85" t="s">
        <v>13</v>
      </c>
      <c r="F5" s="67" t="s">
        <v>13</v>
      </c>
      <c r="G5" s="67" t="s">
        <v>13</v>
      </c>
      <c r="H5" s="67" t="s">
        <v>13</v>
      </c>
      <c r="I5" s="67" t="s">
        <v>13</v>
      </c>
      <c r="J5" s="67" t="s">
        <v>13</v>
      </c>
      <c r="K5" s="85" t="s">
        <v>13</v>
      </c>
      <c r="L5" s="23" t="s">
        <v>13</v>
      </c>
      <c r="M5" s="23" t="s">
        <v>13</v>
      </c>
      <c r="N5" s="23" t="s">
        <v>13</v>
      </c>
      <c r="O5" s="23" t="s">
        <v>13</v>
      </c>
      <c r="P5" s="67" t="s">
        <v>13</v>
      </c>
      <c r="Q5" s="101" t="s">
        <v>13</v>
      </c>
      <c r="R5" s="23" t="s">
        <v>13</v>
      </c>
      <c r="S5" s="34" t="s">
        <v>13</v>
      </c>
      <c r="T5" s="23" t="s">
        <v>13</v>
      </c>
      <c r="U5" s="23" t="s">
        <v>13</v>
      </c>
      <c r="V5" s="23" t="s">
        <v>13</v>
      </c>
      <c r="W5" s="34" t="s">
        <v>13</v>
      </c>
      <c r="X5" s="23" t="s">
        <v>13</v>
      </c>
      <c r="Y5" s="23"/>
      <c r="Z5" s="23"/>
      <c r="AA5" s="67"/>
      <c r="AB5" s="67"/>
      <c r="AC5" s="67"/>
      <c r="AD5" s="23"/>
      <c r="AE5" s="23"/>
      <c r="AF5" s="23"/>
      <c r="AG5" s="23"/>
      <c r="AH5" s="23"/>
      <c r="AI5" s="23"/>
      <c r="AJ5" s="24">
        <f t="shared" si="4"/>
        <v>20</v>
      </c>
      <c r="AK5" s="24">
        <f t="shared" si="5"/>
        <v>0</v>
      </c>
      <c r="AL5" s="24">
        <f t="shared" si="6"/>
        <v>0</v>
      </c>
      <c r="AM5" s="68">
        <f>IFERROR(
  (AJ5 + AL5 * 0.5) + 
  IF(DAY(EOMONTH(E$2, 0)) = 28, VLOOKUP((AJ5 + AL5 * 0.5), Lookup!G:H, 2, FALSE),
    IF(DAY(EOMONTH(E$2, 0)) = 29, VLOOKUP((AJ5 + AL5 * 0.5), Lookup!E:F, 2, FALSE),
      IF(DAY(EOMONTH(E$2, 0)) = 30, VLOOKUP((AJ5 + AL5 * 0.5), Lookup!C:D, 2, FALSE),
        IF(DAY(EOMONTH(E$2, 0)) = 31, VLOOKUP((AJ5 + AL5 * 0.5), Lookup!A:B, 2, FALSE),
          0
        )
      )
    )
  ),
0)
</f>
        <v>21</v>
      </c>
      <c r="AN5" s="70"/>
      <c r="AO5" s="71"/>
    </row>
    <row r="6" ht="19.5" customHeight="1">
      <c r="A6" s="20" t="str">
        <f t="shared" si="3"/>
        <v>DanishChefIndian</v>
      </c>
      <c r="B6" s="21" t="s">
        <v>43</v>
      </c>
      <c r="C6" s="22" t="s">
        <v>18</v>
      </c>
      <c r="D6" s="22" t="s">
        <v>33</v>
      </c>
      <c r="E6" s="67" t="s">
        <v>13</v>
      </c>
      <c r="F6" s="67" t="s">
        <v>13</v>
      </c>
      <c r="G6" s="67" t="s">
        <v>13</v>
      </c>
      <c r="H6" s="67" t="s">
        <v>13</v>
      </c>
      <c r="I6" s="67" t="s">
        <v>13</v>
      </c>
      <c r="J6" s="67" t="s">
        <v>13</v>
      </c>
      <c r="K6" s="67" t="s">
        <v>13</v>
      </c>
      <c r="L6" s="23" t="s">
        <v>13</v>
      </c>
      <c r="M6" s="23" t="s">
        <v>13</v>
      </c>
      <c r="N6" s="23" t="s">
        <v>13</v>
      </c>
      <c r="O6" s="23" t="s">
        <v>13</v>
      </c>
      <c r="P6" s="67" t="s">
        <v>13</v>
      </c>
      <c r="Q6" s="101" t="s">
        <v>13</v>
      </c>
      <c r="R6" s="23" t="s">
        <v>13</v>
      </c>
      <c r="S6" s="34" t="s">
        <v>13</v>
      </c>
      <c r="T6" s="23" t="s">
        <v>13</v>
      </c>
      <c r="U6" s="23" t="s">
        <v>13</v>
      </c>
      <c r="V6" s="23" t="s">
        <v>13</v>
      </c>
      <c r="W6" s="34" t="s">
        <v>13</v>
      </c>
      <c r="X6" s="23" t="s">
        <v>13</v>
      </c>
      <c r="Y6" s="23"/>
      <c r="Z6" s="23"/>
      <c r="AA6" s="67"/>
      <c r="AB6" s="67"/>
      <c r="AC6" s="67"/>
      <c r="AD6" s="23"/>
      <c r="AE6" s="23"/>
      <c r="AF6" s="23"/>
      <c r="AG6" s="23"/>
      <c r="AH6" s="23"/>
      <c r="AI6" s="23"/>
      <c r="AJ6" s="24">
        <f t="shared" si="4"/>
        <v>20</v>
      </c>
      <c r="AK6" s="24">
        <f t="shared" si="5"/>
        <v>0</v>
      </c>
      <c r="AL6" s="24">
        <f t="shared" si="6"/>
        <v>0</v>
      </c>
      <c r="AM6" s="68">
        <f>IFERROR(
  (AJ6 + AL6 * 0.5) + 
  IF(DAY(EOMONTH(E$2, 0)) = 28, VLOOKUP((AJ6 + AL6 * 0.5), Lookup!G:H, 2, FALSE),
    IF(DAY(EOMONTH(E$2, 0)) = 29, VLOOKUP((AJ6 + AL6 * 0.5), Lookup!E:F, 2, FALSE),
      IF(DAY(EOMONTH(E$2, 0)) = 30, VLOOKUP((AJ6 + AL6 * 0.5), Lookup!C:D, 2, FALSE),
        IF(DAY(EOMONTH(E$2, 0)) = 31, VLOOKUP((AJ6 + AL6 * 0.5), Lookup!A:B, 2, FALSE),
          0
        )
      )
    )
  ),
0)
</f>
        <v>21</v>
      </c>
      <c r="AN6" s="70"/>
      <c r="AO6" s="87"/>
    </row>
    <row r="7" ht="19.5" customHeight="1">
      <c r="A7" s="20" t="str">
        <f t="shared" si="3"/>
        <v>WakilHelperTandoor</v>
      </c>
      <c r="B7" s="21" t="s">
        <v>24</v>
      </c>
      <c r="C7" s="20" t="s">
        <v>15</v>
      </c>
      <c r="D7" s="20" t="s">
        <v>19</v>
      </c>
      <c r="E7" s="23" t="s">
        <v>34</v>
      </c>
      <c r="F7" s="23" t="s">
        <v>13</v>
      </c>
      <c r="G7" s="23" t="s">
        <v>13</v>
      </c>
      <c r="H7" s="23" t="s">
        <v>13</v>
      </c>
      <c r="I7" s="23" t="s">
        <v>13</v>
      </c>
      <c r="J7" s="23" t="s">
        <v>13</v>
      </c>
      <c r="K7" s="67" t="s">
        <v>34</v>
      </c>
      <c r="L7" s="23" t="s">
        <v>13</v>
      </c>
      <c r="M7" s="23" t="s">
        <v>13</v>
      </c>
      <c r="N7" s="23" t="s">
        <v>13</v>
      </c>
      <c r="O7" s="23" t="s">
        <v>13</v>
      </c>
      <c r="P7" s="23" t="s">
        <v>13</v>
      </c>
      <c r="Q7" s="23" t="s">
        <v>13</v>
      </c>
      <c r="R7" s="23" t="s">
        <v>13</v>
      </c>
      <c r="S7" s="23" t="s">
        <v>13</v>
      </c>
      <c r="T7" s="23" t="s">
        <v>13</v>
      </c>
      <c r="U7" s="23" t="s">
        <v>13</v>
      </c>
      <c r="V7" s="23" t="s">
        <v>13</v>
      </c>
      <c r="W7" s="23" t="s">
        <v>13</v>
      </c>
      <c r="X7" s="23" t="s">
        <v>13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4">
        <f t="shared" si="4"/>
        <v>18</v>
      </c>
      <c r="AK7" s="24">
        <f t="shared" si="5"/>
        <v>1</v>
      </c>
      <c r="AL7" s="24">
        <f t="shared" si="6"/>
        <v>2</v>
      </c>
      <c r="AM7" s="68">
        <f>IFERROR(
  (AJ7 + AL7 * 0.5) + 
  IF(DAY(EOMONTH(E$2, 0)) = 28, VLOOKUP((AJ7 + AL7 * 0.5), Lookup!G:H, 2, FALSE),
    IF(DAY(EOMONTH(E$2, 0)) = 29, VLOOKUP((AJ7 + AL7 * 0.5), Lookup!E:F, 2, FALSE),
      IF(DAY(EOMONTH(E$2, 0)) = 30, VLOOKUP((AJ7 + AL7 * 0.5), Lookup!C:D, 2, FALSE),
        IF(DAY(EOMONTH(E$2, 0)) = 31, VLOOKUP((AJ7 + AL7 * 0.5), Lookup!A:B, 2, FALSE),
          0
        )
      )
    )
  ),
0)
</f>
        <v>20</v>
      </c>
      <c r="AN7" s="70"/>
      <c r="AO7" s="68"/>
    </row>
    <row r="8" ht="19.5" customHeight="1">
      <c r="A8" s="20" t="str">
        <f t="shared" si="3"/>
        <v>SuhailWaiterService</v>
      </c>
      <c r="B8" s="21" t="s">
        <v>21</v>
      </c>
      <c r="C8" s="20" t="s">
        <v>22</v>
      </c>
      <c r="D8" s="20" t="s">
        <v>12</v>
      </c>
      <c r="E8" s="23" t="s">
        <v>13</v>
      </c>
      <c r="F8" s="23" t="s">
        <v>13</v>
      </c>
      <c r="G8" s="23" t="s">
        <v>13</v>
      </c>
      <c r="H8" s="23" t="s">
        <v>13</v>
      </c>
      <c r="I8" s="23" t="s">
        <v>13</v>
      </c>
      <c r="J8" s="23" t="s">
        <v>13</v>
      </c>
      <c r="K8" s="67" t="s">
        <v>13</v>
      </c>
      <c r="L8" s="23" t="s">
        <v>13</v>
      </c>
      <c r="M8" s="23" t="s">
        <v>13</v>
      </c>
      <c r="N8" s="23" t="s">
        <v>13</v>
      </c>
      <c r="O8" s="23" t="s">
        <v>13</v>
      </c>
      <c r="P8" s="23" t="s">
        <v>13</v>
      </c>
      <c r="Q8" s="23" t="s">
        <v>34</v>
      </c>
      <c r="R8" s="23" t="s">
        <v>34</v>
      </c>
      <c r="S8" s="23" t="s">
        <v>13</v>
      </c>
      <c r="T8" s="23" t="s">
        <v>13</v>
      </c>
      <c r="U8" s="23" t="s">
        <v>13</v>
      </c>
      <c r="V8" s="23" t="s">
        <v>13</v>
      </c>
      <c r="W8" s="23" t="s">
        <v>13</v>
      </c>
      <c r="X8" s="23" t="s">
        <v>13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4">
        <f t="shared" si="4"/>
        <v>18</v>
      </c>
      <c r="AK8" s="24">
        <f t="shared" si="5"/>
        <v>1</v>
      </c>
      <c r="AL8" s="24">
        <f t="shared" si="6"/>
        <v>2</v>
      </c>
      <c r="AM8" s="68">
        <f>IFERROR(
  (AJ8 + AL8 * 0.5) + 
  IF(DAY(EOMONTH(E$2, 0)) = 28, VLOOKUP((AJ8 + AL8 * 0.5), Lookup!G:H, 2, FALSE),
    IF(DAY(EOMONTH(E$2, 0)) = 29, VLOOKUP((AJ8 + AL8 * 0.5), Lookup!E:F, 2, FALSE),
      IF(DAY(EOMONTH(E$2, 0)) = 30, VLOOKUP((AJ8 + AL8 * 0.5), Lookup!C:D, 2, FALSE),
        IF(DAY(EOMONTH(E$2, 0)) = 31, VLOOKUP((AJ8 + AL8 * 0.5), Lookup!A:B, 2, FALSE),
          0
        )
      )
    )
  ),
0)
</f>
        <v>20</v>
      </c>
      <c r="AN8" s="69"/>
      <c r="AO8" s="68"/>
    </row>
    <row r="9" ht="19.5" customHeight="1">
      <c r="A9" s="20" t="str">
        <f t="shared" si="3"/>
        <v>NaseemCombiTandoor</v>
      </c>
      <c r="B9" s="81" t="s">
        <v>26</v>
      </c>
      <c r="C9" s="81" t="s">
        <v>29</v>
      </c>
      <c r="D9" s="81" t="s">
        <v>19</v>
      </c>
      <c r="E9" s="23" t="s">
        <v>13</v>
      </c>
      <c r="F9" s="23" t="s">
        <v>13</v>
      </c>
      <c r="G9" s="23" t="s">
        <v>13</v>
      </c>
      <c r="H9" s="23" t="s">
        <v>13</v>
      </c>
      <c r="I9" s="23" t="s">
        <v>13</v>
      </c>
      <c r="J9" s="23" t="s">
        <v>13</v>
      </c>
      <c r="K9" s="67" t="s">
        <v>13</v>
      </c>
      <c r="L9" s="23" t="s">
        <v>13</v>
      </c>
      <c r="M9" s="23" t="s">
        <v>13</v>
      </c>
      <c r="N9" s="23" t="s">
        <v>13</v>
      </c>
      <c r="O9" s="23" t="s">
        <v>13</v>
      </c>
      <c r="P9" s="23" t="s">
        <v>13</v>
      </c>
      <c r="Q9" s="23" t="s">
        <v>13</v>
      </c>
      <c r="R9" s="23" t="s">
        <v>13</v>
      </c>
      <c r="S9" s="23" t="s">
        <v>13</v>
      </c>
      <c r="T9" s="23" t="s">
        <v>13</v>
      </c>
      <c r="U9" s="23" t="s">
        <v>13</v>
      </c>
      <c r="V9" s="23" t="s">
        <v>13</v>
      </c>
      <c r="W9" s="23" t="s">
        <v>13</v>
      </c>
      <c r="X9" s="23" t="s">
        <v>13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4">
        <f t="shared" ref="AJ9:AJ17" si="7">if(countif($AG9:$AI9,AJ$3)&gt;day(EOMONTH($T$2,0)),"Error",countif($AG9:$AI9,AJ$3))</f>
        <v>0</v>
      </c>
      <c r="AK9" s="24">
        <f t="shared" ref="AK9:AK17" si="8">countif($AG9:$AI9,AK$3)+(sum(AL9)/2)</f>
        <v>0</v>
      </c>
      <c r="AL9" s="24">
        <f t="shared" ref="AL9:AL17" si="9">countif($AG9:$AI9,AL$3)</f>
        <v>0</v>
      </c>
      <c r="AM9" s="68">
        <f>IFERROR(
  (AJ9 + AL9 * 0.5) + 
  IF(DAY(EOMONTH(E$2, 0)) = 28, VLOOKUP((AJ9 + AL9 * 0.5), Lookup!G:H, 2, FALSE),
    IF(DAY(EOMONTH(E$2, 0)) = 29, VLOOKUP((AJ9 + AL9 * 0.5), Lookup!E:F, 2, FALSE),
      IF(DAY(EOMONTH(E$2, 0)) = 30, VLOOKUP((AJ9 + AL9 * 0.5), Lookup!C:D, 2, FALSE),
        IF(DAY(EOMONTH(E$2, 0)) = 31, VLOOKUP((AJ9 + AL9 * 0.5), Lookup!A:B, 2, FALSE),
          0
        )
      )
    )
  ),
0)
</f>
        <v>0</v>
      </c>
      <c r="AN9" s="69"/>
      <c r="AO9" s="68"/>
    </row>
    <row r="10" ht="19.5" customHeight="1">
      <c r="A10" s="20" t="str">
        <f t="shared" si="3"/>
        <v>DineshWaiterService</v>
      </c>
      <c r="B10" s="81" t="s">
        <v>80</v>
      </c>
      <c r="C10" s="81" t="s">
        <v>22</v>
      </c>
      <c r="D10" s="81" t="s">
        <v>12</v>
      </c>
      <c r="E10" s="23" t="s">
        <v>20</v>
      </c>
      <c r="F10" s="23" t="s">
        <v>13</v>
      </c>
      <c r="G10" s="23" t="s">
        <v>13</v>
      </c>
      <c r="H10" s="23" t="s">
        <v>13</v>
      </c>
      <c r="I10" s="23" t="s">
        <v>13</v>
      </c>
      <c r="J10" s="23" t="s">
        <v>13</v>
      </c>
      <c r="K10" s="67" t="s">
        <v>13</v>
      </c>
      <c r="L10" s="23" t="s">
        <v>34</v>
      </c>
      <c r="M10" s="23" t="s">
        <v>13</v>
      </c>
      <c r="N10" s="23" t="s">
        <v>13</v>
      </c>
      <c r="O10" s="23" t="s">
        <v>13</v>
      </c>
      <c r="P10" s="23" t="s">
        <v>13</v>
      </c>
      <c r="Q10" s="23" t="s">
        <v>38</v>
      </c>
      <c r="R10" s="23" t="s">
        <v>38</v>
      </c>
      <c r="S10" s="23" t="s">
        <v>38</v>
      </c>
      <c r="T10" s="23" t="s">
        <v>38</v>
      </c>
      <c r="U10" s="23" t="s">
        <v>38</v>
      </c>
      <c r="V10" s="23" t="s">
        <v>38</v>
      </c>
      <c r="W10" s="23" t="s">
        <v>38</v>
      </c>
      <c r="X10" s="23" t="s">
        <v>38</v>
      </c>
      <c r="Y10" s="23" t="s">
        <v>38</v>
      </c>
      <c r="Z10" s="23" t="s">
        <v>38</v>
      </c>
      <c r="AA10" s="23" t="s">
        <v>38</v>
      </c>
      <c r="AB10" s="23" t="s">
        <v>38</v>
      </c>
      <c r="AC10" s="23" t="s">
        <v>38</v>
      </c>
      <c r="AD10" s="23" t="s">
        <v>38</v>
      </c>
      <c r="AE10" s="23" t="s">
        <v>38</v>
      </c>
      <c r="AF10" s="23" t="s">
        <v>38</v>
      </c>
      <c r="AG10" s="23" t="s">
        <v>38</v>
      </c>
      <c r="AH10" s="23" t="s">
        <v>38</v>
      </c>
      <c r="AI10" s="23"/>
      <c r="AJ10" s="24">
        <f t="shared" si="7"/>
        <v>0</v>
      </c>
      <c r="AK10" s="24">
        <f t="shared" si="8"/>
        <v>0</v>
      </c>
      <c r="AL10" s="24">
        <f t="shared" si="9"/>
        <v>0</v>
      </c>
      <c r="AM10" s="68">
        <f>IFERROR(
  (AJ10 + AL10 * 0.5) + 
  IF(DAY(EOMONTH(E$2, 0)) = 28, VLOOKUP((AJ10 + AL10 * 0.5), Lookup!G:H, 2, FALSE),
    IF(DAY(EOMONTH(E$2, 0)) = 29, VLOOKUP((AJ10 + AL10 * 0.5), Lookup!E:F, 2, FALSE),
      IF(DAY(EOMONTH(E$2, 0)) = 30, VLOOKUP((AJ10 + AL10 * 0.5), Lookup!C:D, 2, FALSE),
        IF(DAY(EOMONTH(E$2, 0)) = 31, VLOOKUP((AJ10 + AL10 * 0.5), Lookup!A:B, 2, FALSE),
          0
        )
      )
    )
  ),
0)
</f>
        <v>0</v>
      </c>
      <c r="AN10" s="69"/>
      <c r="AO10" s="68"/>
    </row>
    <row r="11" ht="19.5" customHeight="1">
      <c r="A11" s="20" t="str">
        <f t="shared" si="3"/>
        <v>GulabChefIndian</v>
      </c>
      <c r="B11" s="81" t="s">
        <v>85</v>
      </c>
      <c r="C11" s="81" t="s">
        <v>18</v>
      </c>
      <c r="D11" s="81" t="s">
        <v>33</v>
      </c>
      <c r="E11" s="23" t="s">
        <v>38</v>
      </c>
      <c r="F11" s="23" t="s">
        <v>13</v>
      </c>
      <c r="G11" s="23" t="s">
        <v>13</v>
      </c>
      <c r="H11" s="23" t="s">
        <v>13</v>
      </c>
      <c r="I11" s="23" t="s">
        <v>13</v>
      </c>
      <c r="J11" s="23" t="s">
        <v>13</v>
      </c>
      <c r="K11" s="67" t="s">
        <v>13</v>
      </c>
      <c r="L11" s="23" t="s">
        <v>13</v>
      </c>
      <c r="M11" s="23" t="s">
        <v>13</v>
      </c>
      <c r="N11" s="23" t="s">
        <v>13</v>
      </c>
      <c r="O11" s="23" t="s">
        <v>13</v>
      </c>
      <c r="P11" s="23" t="s">
        <v>13</v>
      </c>
      <c r="Q11" s="23" t="s">
        <v>13</v>
      </c>
      <c r="R11" s="23" t="s">
        <v>13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>
        <f t="shared" si="7"/>
        <v>0</v>
      </c>
      <c r="AK11" s="24">
        <f t="shared" si="8"/>
        <v>0</v>
      </c>
      <c r="AL11" s="24">
        <f t="shared" si="9"/>
        <v>0</v>
      </c>
      <c r="AM11" s="68">
        <f>IFERROR(
  (AJ11 + AL11 * 0.5) + 
  IF(DAY(EOMONTH(E$2, 0)) = 28, VLOOKUP((AJ11 + AL11 * 0.5), Lookup!G:H, 2, FALSE),
    IF(DAY(EOMONTH(E$2, 0)) = 29, VLOOKUP((AJ11 + AL11 * 0.5), Lookup!E:F, 2, FALSE),
      IF(DAY(EOMONTH(E$2, 0)) = 30, VLOOKUP((AJ11 + AL11 * 0.5), Lookup!C:D, 2, FALSE),
        IF(DAY(EOMONTH(E$2, 0)) = 31, VLOOKUP((AJ11 + AL11 * 0.5), Lookup!A:B, 2, FALSE),
          0
        )
      )
    )
  ),
0)
</f>
        <v>0</v>
      </c>
      <c r="AN11" s="70"/>
      <c r="AO11" s="68"/>
    </row>
    <row r="12" ht="19.5" customHeight="1">
      <c r="A12" s="20" t="str">
        <f t="shared" si="3"/>
        <v>NoorHelperIndian</v>
      </c>
      <c r="B12" s="81" t="s">
        <v>77</v>
      </c>
      <c r="C12" s="81" t="s">
        <v>15</v>
      </c>
      <c r="D12" s="81" t="s">
        <v>33</v>
      </c>
      <c r="E12" s="23" t="s">
        <v>13</v>
      </c>
      <c r="F12" s="23" t="s">
        <v>13</v>
      </c>
      <c r="G12" s="23" t="s">
        <v>13</v>
      </c>
      <c r="H12" s="23" t="s">
        <v>13</v>
      </c>
      <c r="I12" s="23" t="s">
        <v>13</v>
      </c>
      <c r="J12" s="23" t="s">
        <v>13</v>
      </c>
      <c r="K12" s="67" t="s">
        <v>13</v>
      </c>
      <c r="L12" s="23" t="s">
        <v>13</v>
      </c>
      <c r="M12" s="23" t="s">
        <v>38</v>
      </c>
      <c r="N12" s="23" t="s">
        <v>38</v>
      </c>
      <c r="O12" s="23" t="s">
        <v>38</v>
      </c>
      <c r="P12" s="23" t="s">
        <v>38</v>
      </c>
      <c r="Q12" s="23" t="s">
        <v>38</v>
      </c>
      <c r="R12" s="23" t="s">
        <v>38</v>
      </c>
      <c r="S12" s="23" t="s">
        <v>38</v>
      </c>
      <c r="T12" s="23" t="s">
        <v>38</v>
      </c>
      <c r="U12" s="23" t="s">
        <v>38</v>
      </c>
      <c r="V12" s="23" t="s">
        <v>38</v>
      </c>
      <c r="W12" s="23" t="s">
        <v>38</v>
      </c>
      <c r="X12" s="23" t="s">
        <v>38</v>
      </c>
      <c r="Y12" s="23" t="s">
        <v>38</v>
      </c>
      <c r="Z12" s="23" t="s">
        <v>38</v>
      </c>
      <c r="AA12" s="23" t="s">
        <v>38</v>
      </c>
      <c r="AB12" s="23" t="s">
        <v>38</v>
      </c>
      <c r="AC12" s="23" t="s">
        <v>38</v>
      </c>
      <c r="AD12" s="23" t="s">
        <v>38</v>
      </c>
      <c r="AE12" s="23" t="s">
        <v>38</v>
      </c>
      <c r="AF12" s="23" t="s">
        <v>38</v>
      </c>
      <c r="AG12" s="23" t="s">
        <v>38</v>
      </c>
      <c r="AH12" s="23" t="s">
        <v>38</v>
      </c>
      <c r="AI12" s="23"/>
      <c r="AJ12" s="24">
        <f t="shared" si="7"/>
        <v>0</v>
      </c>
      <c r="AK12" s="24">
        <f t="shared" si="8"/>
        <v>0</v>
      </c>
      <c r="AL12" s="24">
        <f t="shared" si="9"/>
        <v>0</v>
      </c>
      <c r="AM12" s="68">
        <f>IFERROR(
  (AJ12 + AL12 * 0.5) + 
  IF(DAY(EOMONTH(E$2, 0)) = 28, VLOOKUP((AJ12 + AL12 * 0.5), Lookup!G:H, 2, FALSE),
    IF(DAY(EOMONTH(E$2, 0)) = 29, VLOOKUP((AJ12 + AL12 * 0.5), Lookup!E:F, 2, FALSE),
      IF(DAY(EOMONTH(E$2, 0)) = 30, VLOOKUP((AJ12 + AL12 * 0.5), Lookup!C:D, 2, FALSE),
        IF(DAY(EOMONTH(E$2, 0)) = 31, VLOOKUP((AJ12 + AL12 * 0.5), Lookup!A:B, 2, FALSE),
          0
        )
      )
    )
  ),
0)
</f>
        <v>0</v>
      </c>
      <c r="AN12" s="69"/>
      <c r="AO12" s="68"/>
    </row>
    <row r="13" ht="19.5" customHeight="1">
      <c r="A13" s="20" t="str">
        <f t="shared" si="3"/>
        <v>ManoharWaiterService</v>
      </c>
      <c r="B13" s="81" t="s">
        <v>78</v>
      </c>
      <c r="C13" s="81" t="s">
        <v>22</v>
      </c>
      <c r="D13" s="81" t="s">
        <v>12</v>
      </c>
      <c r="E13" s="23" t="s">
        <v>13</v>
      </c>
      <c r="F13" s="23" t="s">
        <v>34</v>
      </c>
      <c r="G13" s="23" t="s">
        <v>13</v>
      </c>
      <c r="H13" s="34" t="s">
        <v>13</v>
      </c>
      <c r="I13" s="23" t="s">
        <v>13</v>
      </c>
      <c r="J13" s="23" t="s">
        <v>13</v>
      </c>
      <c r="K13" s="67" t="s">
        <v>13</v>
      </c>
      <c r="L13" s="23" t="s">
        <v>13</v>
      </c>
      <c r="M13" s="23" t="s">
        <v>34</v>
      </c>
      <c r="N13" s="23" t="s">
        <v>13</v>
      </c>
      <c r="O13" s="23" t="s">
        <v>13</v>
      </c>
      <c r="P13" s="23" t="s">
        <v>13</v>
      </c>
      <c r="Q13" s="23" t="s">
        <v>13</v>
      </c>
      <c r="R13" s="23" t="s">
        <v>13</v>
      </c>
      <c r="S13" s="23" t="s">
        <v>13</v>
      </c>
      <c r="T13" s="23" t="s">
        <v>34</v>
      </c>
      <c r="U13" s="23" t="s">
        <v>13</v>
      </c>
      <c r="V13" s="23" t="s">
        <v>13</v>
      </c>
      <c r="W13" s="23" t="s">
        <v>13</v>
      </c>
      <c r="X13" s="23" t="s">
        <v>34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4">
        <f t="shared" si="7"/>
        <v>0</v>
      </c>
      <c r="AK13" s="24">
        <f t="shared" si="8"/>
        <v>0</v>
      </c>
      <c r="AL13" s="24">
        <f t="shared" si="9"/>
        <v>0</v>
      </c>
      <c r="AM13" s="68">
        <f>IFERROR(
  (AJ13 + AL13 * 0.5) + 
  IF(DAY(EOMONTH(E$2, 0)) = 28, VLOOKUP((AJ13 + AL13 * 0.5), Lookup!G:H, 2, FALSE),
    IF(DAY(EOMONTH(E$2, 0)) = 29, VLOOKUP((AJ13 + AL13 * 0.5), Lookup!E:F, 2, FALSE),
      IF(DAY(EOMONTH(E$2, 0)) = 30, VLOOKUP((AJ13 + AL13 * 0.5), Lookup!C:D, 2, FALSE),
        IF(DAY(EOMONTH(E$2, 0)) = 31, VLOOKUP((AJ13 + AL13 * 0.5), Lookup!A:B, 2, FALSE),
          0
        )
      )
    )
  ),
0)
</f>
        <v>0</v>
      </c>
      <c r="AN13" s="70"/>
      <c r="AO13" s="68"/>
    </row>
    <row r="14" ht="19.5" customHeight="1">
      <c r="A14" s="20" t="str">
        <f t="shared" si="3"/>
        <v>VIjayChefTandoor</v>
      </c>
      <c r="B14" s="81" t="s">
        <v>81</v>
      </c>
      <c r="C14" s="81" t="s">
        <v>18</v>
      </c>
      <c r="D14" s="81" t="s">
        <v>19</v>
      </c>
      <c r="E14" s="23" t="s">
        <v>13</v>
      </c>
      <c r="F14" s="23" t="s">
        <v>13</v>
      </c>
      <c r="G14" s="23" t="s">
        <v>13</v>
      </c>
      <c r="H14" s="34" t="s">
        <v>13</v>
      </c>
      <c r="I14" s="23" t="s">
        <v>13</v>
      </c>
      <c r="J14" s="23" t="s">
        <v>13</v>
      </c>
      <c r="K14" s="67" t="s">
        <v>13</v>
      </c>
      <c r="L14" s="23" t="s">
        <v>13</v>
      </c>
      <c r="M14" s="23" t="s">
        <v>13</v>
      </c>
      <c r="N14" s="23" t="s">
        <v>13</v>
      </c>
      <c r="O14" s="23" t="s">
        <v>13</v>
      </c>
      <c r="P14" s="23" t="s">
        <v>13</v>
      </c>
      <c r="Q14" s="23" t="s">
        <v>13</v>
      </c>
      <c r="R14" s="23" t="s">
        <v>38</v>
      </c>
      <c r="S14" s="23" t="s">
        <v>38</v>
      </c>
      <c r="T14" s="23" t="s">
        <v>38</v>
      </c>
      <c r="U14" s="23" t="s">
        <v>38</v>
      </c>
      <c r="V14" s="23" t="s">
        <v>38</v>
      </c>
      <c r="W14" s="23" t="s">
        <v>38</v>
      </c>
      <c r="X14" s="23" t="s">
        <v>38</v>
      </c>
      <c r="Y14" s="23" t="s">
        <v>38</v>
      </c>
      <c r="Z14" s="23" t="s">
        <v>38</v>
      </c>
      <c r="AA14" s="23" t="s">
        <v>38</v>
      </c>
      <c r="AB14" s="23" t="s">
        <v>38</v>
      </c>
      <c r="AC14" s="23" t="s">
        <v>38</v>
      </c>
      <c r="AD14" s="23" t="s">
        <v>38</v>
      </c>
      <c r="AE14" s="23" t="s">
        <v>38</v>
      </c>
      <c r="AF14" s="23" t="s">
        <v>38</v>
      </c>
      <c r="AG14" s="23" t="s">
        <v>38</v>
      </c>
      <c r="AH14" s="23" t="s">
        <v>38</v>
      </c>
      <c r="AI14" s="23"/>
      <c r="AJ14" s="24">
        <f t="shared" si="7"/>
        <v>0</v>
      </c>
      <c r="AK14" s="24">
        <f t="shared" si="8"/>
        <v>0</v>
      </c>
      <c r="AL14" s="24">
        <f t="shared" si="9"/>
        <v>0</v>
      </c>
      <c r="AM14" s="68">
        <f>IFERROR(
  (AJ14 + AL14 * 0.5) + 
  IF(DAY(EOMONTH(E$2, 0)) = 28, VLOOKUP((AJ14 + AL14 * 0.5), Lookup!G:H, 2, FALSE),
    IF(DAY(EOMONTH(E$2, 0)) = 29, VLOOKUP((AJ14 + AL14 * 0.5), Lookup!E:F, 2, FALSE),
      IF(DAY(EOMONTH(E$2, 0)) = 30, VLOOKUP((AJ14 + AL14 * 0.5), Lookup!C:D, 2, FALSE),
        IF(DAY(EOMONTH(E$2, 0)) = 31, VLOOKUP((AJ14 + AL14 * 0.5), Lookup!A:B, 2, FALSE),
          0
        )
      )
    )
  ),
0)
</f>
        <v>0</v>
      </c>
      <c r="AN14" s="69"/>
      <c r="AO14" s="68"/>
    </row>
    <row r="15" ht="19.5" customHeight="1">
      <c r="A15" s="20" t="str">
        <f t="shared" si="3"/>
        <v>RakeshHelperChinese</v>
      </c>
      <c r="B15" s="81" t="s">
        <v>83</v>
      </c>
      <c r="C15" s="81" t="s">
        <v>15</v>
      </c>
      <c r="D15" s="81" t="s">
        <v>40</v>
      </c>
      <c r="E15" s="23" t="s">
        <v>13</v>
      </c>
      <c r="F15" s="23" t="s">
        <v>13</v>
      </c>
      <c r="G15" s="23" t="s">
        <v>13</v>
      </c>
      <c r="H15" s="34" t="s">
        <v>13</v>
      </c>
      <c r="I15" s="23" t="s">
        <v>13</v>
      </c>
      <c r="J15" s="23" t="s">
        <v>13</v>
      </c>
      <c r="K15" s="67" t="s">
        <v>20</v>
      </c>
      <c r="L15" s="23" t="s">
        <v>13</v>
      </c>
      <c r="M15" s="23" t="s">
        <v>13</v>
      </c>
      <c r="N15" s="23" t="s">
        <v>34</v>
      </c>
      <c r="O15" s="23" t="s">
        <v>20</v>
      </c>
      <c r="P15" s="23" t="s">
        <v>34</v>
      </c>
      <c r="Q15" s="23" t="s">
        <v>13</v>
      </c>
      <c r="R15" s="23" t="s">
        <v>13</v>
      </c>
      <c r="S15" s="23" t="s">
        <v>13</v>
      </c>
      <c r="T15" s="23" t="s">
        <v>13</v>
      </c>
      <c r="U15" s="23" t="s">
        <v>13</v>
      </c>
      <c r="V15" s="23" t="s">
        <v>13</v>
      </c>
      <c r="W15" s="23" t="s">
        <v>13</v>
      </c>
      <c r="X15" s="23" t="s">
        <v>13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4">
        <f t="shared" si="7"/>
        <v>0</v>
      </c>
      <c r="AK15" s="24">
        <f t="shared" si="8"/>
        <v>0</v>
      </c>
      <c r="AL15" s="24">
        <f t="shared" si="9"/>
        <v>0</v>
      </c>
      <c r="AM15" s="68">
        <f>IFERROR(
  (AJ15 + AL15 * 0.5) + 
  IF(DAY(EOMONTH(E$2, 0)) = 28, VLOOKUP((AJ15 + AL15 * 0.5), Lookup!G:H, 2, FALSE),
    IF(DAY(EOMONTH(E$2, 0)) = 29, VLOOKUP((AJ15 + AL15 * 0.5), Lookup!E:F, 2, FALSE),
      IF(DAY(EOMONTH(E$2, 0)) = 30, VLOOKUP((AJ15 + AL15 * 0.5), Lookup!C:D, 2, FALSE),
        IF(DAY(EOMONTH(E$2, 0)) = 31, VLOOKUP((AJ15 + AL15 * 0.5), Lookup!A:B, 2, FALSE),
          0
        )
      )
    )
  ),
0)
</f>
        <v>0</v>
      </c>
      <c r="AN15" s="69"/>
      <c r="AO15" s="68"/>
    </row>
    <row r="16" ht="19.5" customHeight="1">
      <c r="A16" s="20" t="str">
        <f t="shared" si="3"/>
        <v>Umesh ManagerService</v>
      </c>
      <c r="B16" s="81" t="s">
        <v>86</v>
      </c>
      <c r="C16" s="81" t="s">
        <v>37</v>
      </c>
      <c r="D16" s="81" t="s">
        <v>12</v>
      </c>
      <c r="E16" s="23" t="s">
        <v>13</v>
      </c>
      <c r="F16" s="23" t="s">
        <v>20</v>
      </c>
      <c r="G16" s="23" t="s">
        <v>13</v>
      </c>
      <c r="H16" s="34" t="s">
        <v>13</v>
      </c>
      <c r="I16" s="23" t="s">
        <v>13</v>
      </c>
      <c r="J16" s="23" t="s">
        <v>13</v>
      </c>
      <c r="K16" s="67" t="s">
        <v>13</v>
      </c>
      <c r="L16" s="23" t="s">
        <v>13</v>
      </c>
      <c r="M16" s="23" t="s">
        <v>34</v>
      </c>
      <c r="N16" s="23" t="s">
        <v>13</v>
      </c>
      <c r="O16" s="23" t="s">
        <v>13</v>
      </c>
      <c r="P16" s="23" t="s">
        <v>13</v>
      </c>
      <c r="Q16" s="23" t="s">
        <v>13</v>
      </c>
      <c r="R16" s="23" t="s">
        <v>13</v>
      </c>
      <c r="S16" s="23" t="s">
        <v>13</v>
      </c>
      <c r="T16" s="23" t="s">
        <v>20</v>
      </c>
      <c r="U16" s="23" t="s">
        <v>13</v>
      </c>
      <c r="V16" s="23" t="s">
        <v>13</v>
      </c>
      <c r="W16" s="23" t="s">
        <v>13</v>
      </c>
      <c r="X16" s="23" t="s">
        <v>13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4">
        <f t="shared" si="7"/>
        <v>0</v>
      </c>
      <c r="AK16" s="24">
        <f t="shared" si="8"/>
        <v>0</v>
      </c>
      <c r="AL16" s="24">
        <f t="shared" si="9"/>
        <v>0</v>
      </c>
      <c r="AM16" s="68">
        <f>IFERROR(
  (AJ16 + AL16 * 0.5) + 
  IF(DAY(EOMONTH(E$2, 0)) = 28, VLOOKUP((AJ16 + AL16 * 0.5), Lookup!G:H, 2, FALSE),
    IF(DAY(EOMONTH(E$2, 0)) = 29, VLOOKUP((AJ16 + AL16 * 0.5), Lookup!E:F, 2, FALSE),
      IF(DAY(EOMONTH(E$2, 0)) = 30, VLOOKUP((AJ16 + AL16 * 0.5), Lookup!C:D, 2, FALSE),
        IF(DAY(EOMONTH(E$2, 0)) = 31, VLOOKUP((AJ16 + AL16 * 0.5), Lookup!A:B, 2, FALSE),
          0
        )
      )
    )
  ),
0)
</f>
        <v>0</v>
      </c>
      <c r="AN16" s="69"/>
      <c r="AO16" s="68"/>
    </row>
    <row r="17" ht="19.5" customHeight="1">
      <c r="A17" s="20" t="str">
        <f t="shared" si="3"/>
        <v>AbhisekHelpermohri</v>
      </c>
      <c r="B17" s="81" t="s">
        <v>87</v>
      </c>
      <c r="C17" s="81" t="s">
        <v>15</v>
      </c>
      <c r="D17" s="81" t="s">
        <v>88</v>
      </c>
      <c r="E17" s="23" t="s">
        <v>13</v>
      </c>
      <c r="F17" s="23" t="s">
        <v>13</v>
      </c>
      <c r="G17" s="23" t="s">
        <v>13</v>
      </c>
      <c r="H17" s="34" t="s">
        <v>13</v>
      </c>
      <c r="I17" s="23" t="s">
        <v>13</v>
      </c>
      <c r="J17" s="23" t="s">
        <v>38</v>
      </c>
      <c r="K17" s="67" t="s">
        <v>38</v>
      </c>
      <c r="L17" s="23" t="s">
        <v>38</v>
      </c>
      <c r="M17" s="23" t="s">
        <v>38</v>
      </c>
      <c r="N17" s="23" t="s">
        <v>38</v>
      </c>
      <c r="O17" s="23" t="s">
        <v>38</v>
      </c>
      <c r="P17" s="23" t="s">
        <v>38</v>
      </c>
      <c r="Q17" s="23" t="s">
        <v>38</v>
      </c>
      <c r="R17" s="23" t="s">
        <v>38</v>
      </c>
      <c r="S17" s="23" t="s">
        <v>38</v>
      </c>
      <c r="T17" s="23" t="s">
        <v>38</v>
      </c>
      <c r="U17" s="23" t="s">
        <v>38</v>
      </c>
      <c r="V17" s="23" t="s">
        <v>38</v>
      </c>
      <c r="W17" s="23" t="s">
        <v>38</v>
      </c>
      <c r="X17" s="23" t="s">
        <v>38</v>
      </c>
      <c r="Y17" s="23" t="s">
        <v>38</v>
      </c>
      <c r="Z17" s="23" t="s">
        <v>38</v>
      </c>
      <c r="AA17" s="23" t="s">
        <v>38</v>
      </c>
      <c r="AB17" s="23" t="s">
        <v>38</v>
      </c>
      <c r="AC17" s="23" t="s">
        <v>38</v>
      </c>
      <c r="AD17" s="23" t="s">
        <v>38</v>
      </c>
      <c r="AE17" s="23" t="s">
        <v>38</v>
      </c>
      <c r="AF17" s="23" t="s">
        <v>38</v>
      </c>
      <c r="AG17" s="23" t="s">
        <v>38</v>
      </c>
      <c r="AH17" s="23" t="s">
        <v>38</v>
      </c>
      <c r="AI17" s="23"/>
      <c r="AJ17" s="24">
        <f t="shared" si="7"/>
        <v>0</v>
      </c>
      <c r="AK17" s="24">
        <f t="shared" si="8"/>
        <v>0</v>
      </c>
      <c r="AL17" s="24">
        <f t="shared" si="9"/>
        <v>0</v>
      </c>
      <c r="AM17" s="68">
        <f>IFERROR(
  (AJ17 + AL17 * 0.5) + 
  IF(DAY(EOMONTH(E$2, 0)) = 28, VLOOKUP((AJ17 + AL17 * 0.5), Lookup!G:H, 2, FALSE),
    IF(DAY(EOMONTH(E$2, 0)) = 29, VLOOKUP((AJ17 + AL17 * 0.5), Lookup!E:F, 2, FALSE),
      IF(DAY(EOMONTH(E$2, 0)) = 30, VLOOKUP((AJ17 + AL17 * 0.5), Lookup!C:D, 2, FALSE),
        IF(DAY(EOMONTH(E$2, 0)) = 31, VLOOKUP((AJ17 + AL17 * 0.5), Lookup!A:B, 2, FALSE),
          0
        )
      )
    )
  ),
0)
</f>
        <v>0</v>
      </c>
      <c r="AN17" s="69"/>
      <c r="AO17" s="68"/>
    </row>
    <row r="18" ht="19.5" customHeight="1">
      <c r="A18" s="28"/>
      <c r="B18" s="81" t="s">
        <v>89</v>
      </c>
      <c r="C18" s="81" t="s">
        <v>15</v>
      </c>
      <c r="D18" s="81" t="s">
        <v>12</v>
      </c>
      <c r="J18" s="23" t="s">
        <v>38</v>
      </c>
      <c r="K18" s="67" t="s">
        <v>38</v>
      </c>
      <c r="L18" s="23" t="s">
        <v>38</v>
      </c>
      <c r="M18" s="23" t="s">
        <v>38</v>
      </c>
      <c r="N18" s="23" t="s">
        <v>38</v>
      </c>
      <c r="O18" s="23" t="s">
        <v>38</v>
      </c>
      <c r="P18" s="23" t="s">
        <v>38</v>
      </c>
      <c r="Q18" s="23" t="s">
        <v>13</v>
      </c>
      <c r="R18" s="23" t="s">
        <v>13</v>
      </c>
      <c r="S18" s="23" t="s">
        <v>13</v>
      </c>
      <c r="T18" s="23" t="s">
        <v>13</v>
      </c>
      <c r="U18" s="23" t="s">
        <v>13</v>
      </c>
      <c r="V18" s="23" t="s">
        <v>13</v>
      </c>
      <c r="W18" s="23" t="s">
        <v>13</v>
      </c>
      <c r="X18" s="23" t="s">
        <v>13</v>
      </c>
    </row>
    <row r="19" ht="19.5" customHeight="1">
      <c r="A19" s="28"/>
      <c r="B19" s="81" t="s">
        <v>90</v>
      </c>
      <c r="C19" s="81" t="s">
        <v>15</v>
      </c>
      <c r="D19" s="81" t="s">
        <v>88</v>
      </c>
      <c r="J19" s="23" t="s">
        <v>13</v>
      </c>
      <c r="K19" s="67" t="s">
        <v>13</v>
      </c>
      <c r="L19" s="23" t="s">
        <v>13</v>
      </c>
      <c r="M19" s="23" t="s">
        <v>13</v>
      </c>
      <c r="N19" s="23" t="s">
        <v>13</v>
      </c>
      <c r="O19" s="23" t="s">
        <v>13</v>
      </c>
      <c r="P19" s="23" t="s">
        <v>13</v>
      </c>
      <c r="Q19" s="23" t="s">
        <v>13</v>
      </c>
      <c r="R19" s="23" t="s">
        <v>13</v>
      </c>
      <c r="S19" s="23" t="s">
        <v>13</v>
      </c>
      <c r="T19" s="23" t="s">
        <v>13</v>
      </c>
      <c r="U19" s="23" t="s">
        <v>13</v>
      </c>
      <c r="V19" s="23" t="s">
        <v>13</v>
      </c>
      <c r="W19" s="23" t="s">
        <v>13</v>
      </c>
      <c r="X19" s="23" t="s">
        <v>13</v>
      </c>
    </row>
    <row r="20" ht="19.5" customHeight="1">
      <c r="A20" s="28"/>
    </row>
    <row r="21" ht="19.5" customHeight="1">
      <c r="A21" s="28"/>
    </row>
    <row r="22" ht="19.5" customHeight="1">
      <c r="A22" s="28"/>
    </row>
    <row r="23" ht="19.5" customHeight="1">
      <c r="A23" s="28"/>
    </row>
    <row r="24" ht="19.5" customHeight="1">
      <c r="A24" s="28"/>
    </row>
    <row r="25" ht="19.5" customHeight="1">
      <c r="A25" s="28"/>
    </row>
    <row r="26" ht="19.5" customHeight="1">
      <c r="A26" s="28"/>
    </row>
    <row r="27" ht="19.5" customHeight="1">
      <c r="A27" s="28"/>
    </row>
    <row r="28" ht="19.5" customHeight="1">
      <c r="A28" s="28"/>
    </row>
    <row r="29" ht="19.5" customHeight="1">
      <c r="A29" s="28"/>
    </row>
    <row r="30" ht="19.5" customHeight="1">
      <c r="A30" s="28"/>
    </row>
    <row r="31" ht="19.5" customHeight="1">
      <c r="A31" s="28"/>
    </row>
    <row r="32" ht="19.5" customHeight="1">
      <c r="A32" s="28"/>
    </row>
    <row r="33" ht="19.5" customHeight="1">
      <c r="A33" s="28"/>
    </row>
    <row r="34" ht="19.5" customHeight="1">
      <c r="A34" s="28"/>
    </row>
    <row r="35" ht="19.5" customHeight="1">
      <c r="A35" s="28"/>
    </row>
    <row r="36" ht="19.5" customHeight="1">
      <c r="A36" s="28"/>
    </row>
    <row r="37" ht="19.5" customHeight="1">
      <c r="A37" s="28"/>
    </row>
    <row r="38" ht="19.5" customHeight="1">
      <c r="A38" s="28"/>
    </row>
    <row r="39" ht="19.5" customHeight="1">
      <c r="A39" s="28"/>
    </row>
    <row r="40" ht="19.5" customHeight="1">
      <c r="A40" s="28"/>
    </row>
    <row r="41" ht="19.5" customHeight="1">
      <c r="A41" s="28"/>
    </row>
    <row r="42" ht="19.5" customHeight="1">
      <c r="A42" s="28"/>
    </row>
    <row r="43" ht="19.5" customHeight="1">
      <c r="A43" s="28"/>
    </row>
    <row r="44" ht="19.5" customHeight="1">
      <c r="A44" s="28"/>
    </row>
    <row r="45" ht="19.5" customHeight="1">
      <c r="A45" s="28"/>
    </row>
    <row r="46" ht="19.5" customHeight="1">
      <c r="A46" s="28"/>
    </row>
    <row r="47" ht="19.5" customHeight="1">
      <c r="A47" s="28"/>
    </row>
    <row r="48" ht="19.5" customHeight="1">
      <c r="A48" s="28"/>
    </row>
    <row r="49" ht="19.5" customHeight="1">
      <c r="A49" s="28"/>
    </row>
    <row r="50" ht="19.5" customHeight="1">
      <c r="A50" s="28"/>
    </row>
    <row r="51" ht="19.5" customHeight="1">
      <c r="A51" s="28"/>
    </row>
    <row r="52" ht="19.5" customHeight="1">
      <c r="A52" s="28"/>
    </row>
    <row r="53" ht="19.5" customHeight="1">
      <c r="A53" s="28"/>
    </row>
    <row r="54" ht="19.5" customHeight="1">
      <c r="A54" s="28"/>
    </row>
    <row r="55" ht="19.5" customHeight="1">
      <c r="A55" s="28"/>
    </row>
    <row r="56" ht="19.5" customHeight="1">
      <c r="A56" s="28"/>
    </row>
    <row r="57" ht="19.5" customHeight="1">
      <c r="A57" s="28"/>
    </row>
    <row r="58" ht="19.5" customHeight="1">
      <c r="A58" s="28"/>
    </row>
    <row r="59" ht="19.5" customHeight="1">
      <c r="A59" s="28"/>
    </row>
    <row r="60" ht="19.5" customHeight="1">
      <c r="A60" s="28"/>
    </row>
    <row r="61" ht="19.5" customHeight="1">
      <c r="A61" s="28"/>
    </row>
    <row r="62" ht="19.5" customHeight="1">
      <c r="A62" s="28"/>
    </row>
    <row r="63" ht="19.5" customHeight="1">
      <c r="A63" s="28"/>
    </row>
    <row r="64" ht="19.5" customHeight="1">
      <c r="A64" s="28"/>
    </row>
    <row r="65" ht="19.5" customHeight="1">
      <c r="A65" s="28"/>
    </row>
    <row r="66" ht="19.5" customHeight="1">
      <c r="A66" s="28"/>
    </row>
    <row r="67" ht="19.5" customHeight="1">
      <c r="A67" s="28"/>
    </row>
    <row r="68" ht="19.5" customHeight="1">
      <c r="A68" s="28"/>
    </row>
    <row r="69" ht="19.5" customHeight="1">
      <c r="A69" s="28"/>
    </row>
    <row r="70" ht="19.5" customHeight="1">
      <c r="A70" s="28"/>
    </row>
    <row r="71" ht="19.5" customHeight="1">
      <c r="A71" s="28"/>
    </row>
    <row r="72" ht="19.5" customHeight="1">
      <c r="A72" s="28"/>
    </row>
    <row r="73" ht="19.5" customHeight="1">
      <c r="A73" s="28"/>
    </row>
    <row r="74" ht="19.5" customHeight="1">
      <c r="A74" s="28"/>
    </row>
    <row r="75" ht="19.5" customHeight="1">
      <c r="A75" s="28"/>
    </row>
    <row r="76" ht="19.5" customHeight="1">
      <c r="A76" s="28"/>
    </row>
    <row r="77" ht="19.5" customHeight="1">
      <c r="A77" s="28"/>
    </row>
    <row r="78" ht="19.5" customHeight="1">
      <c r="A78" s="28"/>
    </row>
    <row r="79" ht="19.5" customHeight="1">
      <c r="A79" s="28"/>
    </row>
    <row r="80" ht="19.5" customHeight="1">
      <c r="A80" s="28"/>
    </row>
    <row r="81" ht="19.5" customHeight="1">
      <c r="A81" s="28"/>
    </row>
    <row r="82" ht="19.5" customHeight="1">
      <c r="A82" s="28"/>
    </row>
    <row r="83" ht="19.5" customHeight="1">
      <c r="A83" s="28"/>
    </row>
    <row r="84" ht="19.5" customHeight="1">
      <c r="A84" s="28"/>
    </row>
    <row r="85" ht="19.5" customHeight="1">
      <c r="A85" s="28"/>
    </row>
    <row r="86" ht="19.5" customHeight="1">
      <c r="A86" s="28"/>
    </row>
    <row r="87" ht="19.5" customHeight="1">
      <c r="A87" s="28"/>
    </row>
    <row r="88" ht="19.5" customHeight="1">
      <c r="A88" s="28"/>
    </row>
    <row r="89" ht="19.5" customHeight="1">
      <c r="A89" s="28"/>
    </row>
    <row r="90" ht="19.5" customHeight="1">
      <c r="A90" s="28"/>
    </row>
    <row r="91" ht="19.5" customHeight="1">
      <c r="A91" s="28"/>
    </row>
    <row r="92" ht="19.5" customHeight="1">
      <c r="A92" s="28"/>
    </row>
    <row r="93" ht="19.5" customHeight="1">
      <c r="A93" s="28"/>
    </row>
    <row r="94" ht="19.5" customHeight="1">
      <c r="A94" s="28"/>
    </row>
    <row r="95" ht="19.5" customHeight="1">
      <c r="A95" s="28"/>
    </row>
    <row r="96" ht="19.5" customHeight="1">
      <c r="A96" s="28"/>
    </row>
    <row r="97" ht="19.5" customHeight="1">
      <c r="A97" s="28"/>
    </row>
    <row r="98" ht="19.5" customHeight="1">
      <c r="A98" s="28"/>
    </row>
    <row r="99" ht="19.5" customHeight="1">
      <c r="A99" s="28"/>
    </row>
    <row r="100" ht="19.5" customHeight="1">
      <c r="A100" s="28"/>
    </row>
    <row r="101" ht="19.5" customHeight="1">
      <c r="A101" s="28"/>
    </row>
    <row r="102" ht="19.5" customHeight="1">
      <c r="A102" s="28"/>
    </row>
    <row r="103" ht="19.5" customHeight="1">
      <c r="A103" s="28"/>
    </row>
    <row r="104" ht="19.5" customHeight="1">
      <c r="A104" s="28"/>
    </row>
    <row r="105" ht="19.5" customHeight="1">
      <c r="A105" s="28"/>
    </row>
    <row r="106" ht="19.5" customHeight="1">
      <c r="A106" s="28"/>
    </row>
    <row r="107" ht="19.5" customHeight="1">
      <c r="A107" s="28"/>
    </row>
    <row r="108" ht="19.5" customHeight="1">
      <c r="A108" s="28"/>
    </row>
    <row r="109" ht="19.5" customHeight="1">
      <c r="A109" s="28"/>
    </row>
    <row r="110" ht="19.5" customHeight="1">
      <c r="A110" s="28"/>
    </row>
    <row r="111" ht="19.5" customHeight="1">
      <c r="A111" s="28"/>
    </row>
    <row r="112" ht="19.5" customHeight="1">
      <c r="A112" s="28"/>
    </row>
    <row r="113" ht="19.5" customHeight="1">
      <c r="A113" s="28"/>
    </row>
    <row r="114" ht="19.5" customHeight="1">
      <c r="A114" s="28"/>
    </row>
    <row r="115" ht="19.5" customHeight="1">
      <c r="A115" s="28"/>
    </row>
    <row r="116" ht="19.5" customHeight="1">
      <c r="A116" s="28"/>
    </row>
    <row r="117" ht="19.5" customHeight="1">
      <c r="A117" s="28"/>
    </row>
    <row r="118" ht="19.5" customHeight="1">
      <c r="A118" s="28"/>
    </row>
    <row r="119" ht="19.5" customHeight="1">
      <c r="A119" s="28"/>
    </row>
    <row r="120" ht="19.5" customHeight="1">
      <c r="A120" s="28"/>
    </row>
    <row r="121" ht="19.5" customHeight="1">
      <c r="A121" s="28"/>
    </row>
    <row r="122" ht="19.5" customHeight="1">
      <c r="A122" s="28"/>
    </row>
    <row r="123" ht="19.5" customHeight="1">
      <c r="A123" s="28"/>
    </row>
    <row r="124" ht="19.5" customHeight="1">
      <c r="A124" s="28"/>
    </row>
    <row r="125" ht="19.5" customHeight="1">
      <c r="A125" s="28"/>
    </row>
    <row r="126" ht="19.5" customHeight="1">
      <c r="A126" s="28"/>
    </row>
    <row r="127" ht="19.5" customHeight="1">
      <c r="A127" s="28"/>
    </row>
    <row r="128" ht="19.5" customHeight="1">
      <c r="A128" s="28"/>
    </row>
    <row r="129" ht="19.5" customHeight="1">
      <c r="A129" s="28"/>
    </row>
    <row r="130" ht="19.5" customHeight="1">
      <c r="A130" s="28"/>
    </row>
    <row r="131" ht="19.5" customHeight="1">
      <c r="A131" s="28"/>
    </row>
    <row r="132" ht="19.5" customHeight="1">
      <c r="A132" s="28"/>
    </row>
    <row r="133" ht="19.5" customHeight="1">
      <c r="A133" s="28"/>
    </row>
    <row r="134" ht="19.5" customHeight="1">
      <c r="A134" s="28"/>
    </row>
    <row r="135" ht="19.5" customHeight="1">
      <c r="A135" s="28"/>
    </row>
    <row r="136" ht="19.5" customHeight="1">
      <c r="A136" s="28"/>
    </row>
    <row r="137" ht="19.5" customHeight="1">
      <c r="A137" s="28"/>
    </row>
    <row r="138" ht="19.5" customHeight="1">
      <c r="A138" s="28"/>
    </row>
    <row r="139" ht="19.5" customHeight="1">
      <c r="A139" s="28"/>
    </row>
    <row r="140" ht="19.5" customHeight="1">
      <c r="A140" s="28"/>
    </row>
    <row r="141" ht="19.5" customHeight="1">
      <c r="A141" s="28"/>
    </row>
    <row r="142" ht="19.5" customHeight="1">
      <c r="A142" s="28"/>
    </row>
    <row r="143" ht="19.5" customHeight="1">
      <c r="A143" s="28"/>
    </row>
    <row r="144" ht="19.5" customHeight="1">
      <c r="A144" s="28"/>
    </row>
    <row r="145" ht="19.5" customHeight="1">
      <c r="A145" s="28"/>
    </row>
    <row r="146" ht="19.5" customHeight="1">
      <c r="A146" s="28"/>
    </row>
    <row r="147" ht="19.5" customHeight="1">
      <c r="A147" s="28"/>
    </row>
    <row r="148" ht="19.5" customHeight="1">
      <c r="A148" s="28"/>
    </row>
    <row r="149" ht="19.5" customHeight="1">
      <c r="A149" s="28"/>
    </row>
    <row r="150" ht="19.5" customHeight="1">
      <c r="A150" s="28"/>
    </row>
    <row r="151" ht="19.5" customHeight="1">
      <c r="A151" s="28"/>
    </row>
    <row r="152" ht="19.5" customHeight="1">
      <c r="A152" s="28"/>
    </row>
    <row r="153" ht="19.5" customHeight="1">
      <c r="A153" s="28"/>
    </row>
    <row r="154" ht="19.5" customHeight="1">
      <c r="A154" s="28"/>
    </row>
    <row r="155" ht="19.5" customHeight="1">
      <c r="A155" s="28"/>
    </row>
    <row r="156" ht="19.5" customHeight="1">
      <c r="A156" s="28"/>
    </row>
    <row r="157" ht="19.5" customHeight="1">
      <c r="A157" s="28"/>
    </row>
    <row r="158" ht="19.5" customHeight="1">
      <c r="A158" s="28"/>
    </row>
    <row r="159" ht="19.5" customHeight="1">
      <c r="A159" s="28"/>
    </row>
    <row r="160" ht="19.5" customHeight="1">
      <c r="A160" s="28"/>
    </row>
    <row r="161" ht="19.5" customHeight="1">
      <c r="A161" s="28"/>
    </row>
    <row r="162" ht="19.5" customHeight="1">
      <c r="A162" s="28"/>
    </row>
    <row r="163" ht="19.5" customHeight="1">
      <c r="A163" s="28"/>
    </row>
    <row r="164" ht="19.5" customHeight="1">
      <c r="A164" s="28"/>
    </row>
    <row r="165" ht="19.5" customHeight="1">
      <c r="A165" s="28"/>
    </row>
    <row r="166" ht="19.5" customHeight="1">
      <c r="A166" s="28"/>
    </row>
    <row r="167" ht="19.5" customHeight="1">
      <c r="A167" s="28"/>
    </row>
    <row r="168" ht="19.5" customHeight="1">
      <c r="A168" s="28"/>
    </row>
    <row r="169" ht="19.5" customHeight="1">
      <c r="A169" s="28"/>
    </row>
    <row r="170" ht="19.5" customHeight="1">
      <c r="A170" s="28"/>
    </row>
    <row r="171" ht="19.5" customHeight="1">
      <c r="A171" s="28"/>
    </row>
    <row r="172" ht="19.5" customHeight="1">
      <c r="A172" s="28"/>
    </row>
    <row r="173" ht="19.5" customHeight="1">
      <c r="A173" s="28"/>
    </row>
    <row r="174" ht="19.5" customHeight="1">
      <c r="A174" s="28"/>
    </row>
    <row r="175" ht="19.5" customHeight="1">
      <c r="A175" s="28"/>
    </row>
    <row r="176" ht="19.5" customHeight="1">
      <c r="A176" s="28"/>
    </row>
    <row r="177" ht="19.5" customHeight="1">
      <c r="A177" s="28"/>
    </row>
    <row r="178" ht="19.5" customHeight="1">
      <c r="A178" s="28"/>
    </row>
    <row r="179" ht="19.5" customHeight="1">
      <c r="A179" s="28"/>
    </row>
    <row r="180" ht="19.5" customHeight="1">
      <c r="A180" s="28"/>
    </row>
    <row r="181" ht="19.5" customHeight="1">
      <c r="A181" s="28"/>
    </row>
    <row r="182" ht="19.5" customHeight="1">
      <c r="A182" s="28"/>
    </row>
    <row r="183" ht="19.5" customHeight="1">
      <c r="A183" s="28"/>
    </row>
    <row r="184" ht="19.5" customHeight="1">
      <c r="A184" s="28"/>
    </row>
    <row r="185" ht="19.5" customHeight="1">
      <c r="A185" s="28"/>
    </row>
    <row r="186" ht="19.5" customHeight="1">
      <c r="A186" s="28"/>
    </row>
    <row r="187" ht="19.5" customHeight="1">
      <c r="A187" s="28"/>
    </row>
    <row r="188" ht="19.5" customHeight="1">
      <c r="A188" s="28"/>
    </row>
    <row r="189" ht="19.5" customHeight="1">
      <c r="A189" s="28"/>
    </row>
    <row r="190" ht="19.5" customHeight="1">
      <c r="A190" s="28"/>
    </row>
    <row r="191" ht="19.5" customHeight="1">
      <c r="A191" s="28"/>
    </row>
    <row r="192" ht="19.5" customHeight="1">
      <c r="A192" s="28"/>
    </row>
    <row r="193" ht="19.5" customHeight="1">
      <c r="A193" s="28"/>
    </row>
    <row r="194" ht="19.5" customHeight="1">
      <c r="A194" s="28"/>
    </row>
    <row r="195" ht="19.5" customHeight="1">
      <c r="A195" s="28"/>
    </row>
    <row r="196" ht="19.5" customHeight="1">
      <c r="A196" s="28"/>
    </row>
    <row r="197" ht="19.5" customHeight="1">
      <c r="A197" s="28"/>
    </row>
    <row r="198" ht="19.5" customHeight="1">
      <c r="A198" s="28"/>
    </row>
    <row r="199" ht="19.5" customHeight="1">
      <c r="A199" s="28"/>
    </row>
    <row r="200" ht="19.5" customHeight="1">
      <c r="A200" s="28"/>
    </row>
    <row r="201" ht="19.5" customHeight="1">
      <c r="A201" s="28"/>
    </row>
    <row r="202" ht="19.5" customHeight="1">
      <c r="A202" s="28"/>
    </row>
    <row r="203" ht="19.5" customHeight="1">
      <c r="A203" s="28"/>
    </row>
    <row r="204" ht="19.5" customHeight="1">
      <c r="A204" s="28"/>
    </row>
    <row r="205" ht="19.5" customHeight="1">
      <c r="A205" s="28"/>
    </row>
    <row r="206" ht="19.5" customHeight="1">
      <c r="A206" s="28"/>
    </row>
    <row r="207" ht="19.5" customHeight="1">
      <c r="A207" s="28"/>
    </row>
    <row r="208" ht="19.5" customHeight="1">
      <c r="A208" s="28"/>
    </row>
    <row r="209" ht="19.5" customHeight="1">
      <c r="A209" s="28"/>
    </row>
    <row r="210" ht="19.5" customHeight="1">
      <c r="A210" s="28"/>
    </row>
    <row r="211" ht="19.5" customHeight="1">
      <c r="A211" s="28"/>
    </row>
    <row r="212" ht="19.5" customHeight="1">
      <c r="A212" s="28"/>
    </row>
    <row r="213" ht="19.5" customHeight="1">
      <c r="A213" s="28"/>
    </row>
    <row r="214" ht="19.5" customHeight="1">
      <c r="A214" s="28"/>
    </row>
    <row r="215" ht="19.5" customHeight="1">
      <c r="A215" s="28"/>
    </row>
    <row r="216" ht="19.5" customHeight="1">
      <c r="A216" s="28"/>
    </row>
    <row r="217" ht="19.5" customHeight="1">
      <c r="A217" s="28"/>
    </row>
    <row r="218" ht="19.5" customHeight="1">
      <c r="A218" s="28"/>
    </row>
    <row r="219" ht="19.5" customHeight="1">
      <c r="A219" s="28"/>
    </row>
    <row r="220" ht="19.5" customHeight="1">
      <c r="A220" s="28"/>
    </row>
    <row r="221" ht="19.5" customHeight="1">
      <c r="A221" s="28"/>
    </row>
    <row r="222" ht="19.5" customHeight="1">
      <c r="A222" s="28"/>
    </row>
    <row r="223" ht="19.5" customHeight="1">
      <c r="A223" s="28"/>
    </row>
    <row r="224" ht="19.5" customHeight="1">
      <c r="A224" s="28"/>
    </row>
    <row r="225" ht="19.5" customHeight="1">
      <c r="A225" s="28"/>
    </row>
    <row r="226" ht="19.5" customHeight="1">
      <c r="A226" s="28"/>
    </row>
    <row r="227" ht="19.5" customHeight="1">
      <c r="A227" s="28"/>
    </row>
    <row r="228" ht="19.5" customHeight="1">
      <c r="A228" s="28"/>
    </row>
    <row r="229" ht="19.5" customHeight="1">
      <c r="A229" s="28"/>
    </row>
    <row r="230" ht="19.5" customHeight="1">
      <c r="A230" s="28"/>
    </row>
    <row r="231" ht="19.5" customHeight="1">
      <c r="A231" s="28"/>
    </row>
    <row r="232" ht="19.5" customHeight="1">
      <c r="A232" s="28"/>
    </row>
    <row r="233" ht="19.5" customHeight="1">
      <c r="A233" s="28"/>
    </row>
    <row r="234" ht="19.5" customHeight="1">
      <c r="A234" s="28"/>
    </row>
    <row r="235" ht="19.5" customHeight="1">
      <c r="A235" s="28"/>
    </row>
    <row r="236" ht="19.5" customHeight="1">
      <c r="A236" s="28"/>
    </row>
    <row r="237" ht="19.5" customHeight="1">
      <c r="A237" s="28"/>
    </row>
    <row r="238" ht="19.5" customHeight="1">
      <c r="A238" s="28"/>
    </row>
    <row r="239" ht="19.5" customHeight="1">
      <c r="A239" s="28"/>
    </row>
    <row r="240" ht="19.5" customHeight="1">
      <c r="A240" s="28"/>
    </row>
    <row r="241" ht="19.5" customHeight="1">
      <c r="A241" s="28"/>
    </row>
    <row r="242" ht="19.5" customHeight="1">
      <c r="A242" s="28"/>
    </row>
    <row r="243" ht="19.5" customHeight="1">
      <c r="A243" s="28"/>
    </row>
    <row r="244" ht="19.5" customHeight="1">
      <c r="A244" s="28"/>
    </row>
    <row r="245" ht="19.5" customHeight="1">
      <c r="A245" s="28"/>
    </row>
    <row r="246" ht="19.5" customHeight="1">
      <c r="A246" s="28"/>
    </row>
    <row r="247" ht="19.5" customHeight="1">
      <c r="A247" s="28"/>
    </row>
    <row r="248" ht="19.5" customHeight="1">
      <c r="A248" s="28"/>
    </row>
    <row r="249" ht="19.5" customHeight="1">
      <c r="A249" s="28"/>
    </row>
    <row r="250" ht="19.5" customHeight="1">
      <c r="A250" s="28"/>
    </row>
    <row r="251" ht="19.5" customHeight="1">
      <c r="A251" s="28"/>
    </row>
    <row r="252" ht="19.5" customHeight="1">
      <c r="A252" s="28"/>
    </row>
    <row r="253" ht="19.5" customHeight="1">
      <c r="A253" s="28"/>
    </row>
    <row r="254" ht="19.5" customHeight="1">
      <c r="A254" s="28"/>
    </row>
    <row r="255" ht="19.5" customHeight="1">
      <c r="A255" s="28"/>
    </row>
    <row r="256" ht="19.5" customHeight="1">
      <c r="A256" s="28"/>
    </row>
    <row r="257" ht="19.5" customHeight="1">
      <c r="A257" s="28"/>
    </row>
    <row r="258" ht="19.5" customHeight="1">
      <c r="A258" s="28"/>
    </row>
    <row r="259" ht="19.5" customHeight="1">
      <c r="A259" s="28"/>
    </row>
    <row r="260" ht="19.5" customHeight="1">
      <c r="A260" s="28"/>
    </row>
    <row r="261" ht="19.5" customHeight="1">
      <c r="A261" s="28"/>
    </row>
    <row r="262" ht="19.5" customHeight="1">
      <c r="A262" s="28"/>
    </row>
    <row r="263" ht="19.5" customHeight="1">
      <c r="A263" s="28"/>
    </row>
    <row r="264" ht="19.5" customHeight="1">
      <c r="A264" s="28"/>
    </row>
    <row r="265" ht="19.5" customHeight="1">
      <c r="A265" s="28"/>
    </row>
    <row r="266" ht="19.5" customHeight="1">
      <c r="A266" s="28"/>
    </row>
    <row r="267" ht="19.5" customHeight="1">
      <c r="A267" s="28"/>
    </row>
    <row r="268" ht="19.5" customHeight="1">
      <c r="A268" s="28"/>
    </row>
    <row r="269" ht="19.5" customHeight="1">
      <c r="A269" s="28"/>
    </row>
    <row r="270" ht="19.5" customHeight="1">
      <c r="A270" s="28"/>
    </row>
    <row r="271" ht="19.5" customHeight="1">
      <c r="A271" s="28"/>
    </row>
    <row r="272" ht="19.5" customHeight="1">
      <c r="A272" s="28"/>
    </row>
    <row r="273" ht="19.5" customHeight="1">
      <c r="A273" s="28"/>
    </row>
    <row r="274" ht="19.5" customHeight="1">
      <c r="A274" s="28"/>
    </row>
    <row r="275" ht="19.5" customHeight="1">
      <c r="A275" s="28"/>
    </row>
    <row r="276" ht="19.5" customHeight="1">
      <c r="A276" s="28"/>
    </row>
    <row r="277" ht="19.5" customHeight="1">
      <c r="A277" s="28"/>
    </row>
    <row r="278" ht="19.5" customHeight="1">
      <c r="A278" s="28"/>
    </row>
    <row r="279" ht="19.5" customHeight="1">
      <c r="A279" s="28"/>
    </row>
    <row r="280" ht="19.5" customHeight="1">
      <c r="A280" s="28"/>
    </row>
    <row r="281" ht="19.5" customHeight="1">
      <c r="A281" s="28"/>
    </row>
    <row r="282" ht="19.5" customHeight="1">
      <c r="A282" s="28"/>
    </row>
    <row r="283" ht="19.5" customHeight="1">
      <c r="A283" s="28"/>
    </row>
    <row r="284" ht="19.5" customHeight="1">
      <c r="A284" s="28"/>
    </row>
    <row r="285" ht="19.5" customHeight="1">
      <c r="A285" s="28"/>
    </row>
    <row r="286" ht="19.5" customHeight="1">
      <c r="A286" s="28"/>
    </row>
    <row r="287" ht="19.5" customHeight="1">
      <c r="A287" s="28"/>
    </row>
    <row r="288" ht="19.5" customHeight="1">
      <c r="A288" s="28"/>
    </row>
    <row r="289" ht="19.5" customHeight="1">
      <c r="A289" s="28"/>
    </row>
    <row r="290" ht="19.5" customHeight="1">
      <c r="A290" s="28"/>
    </row>
    <row r="291" ht="19.5" customHeight="1">
      <c r="A291" s="28"/>
    </row>
    <row r="292" ht="19.5" customHeight="1">
      <c r="A292" s="28"/>
    </row>
    <row r="293" ht="19.5" customHeight="1">
      <c r="A293" s="28"/>
    </row>
    <row r="294" ht="19.5" customHeight="1">
      <c r="A294" s="28"/>
    </row>
    <row r="295" ht="19.5" customHeight="1">
      <c r="A295" s="28"/>
    </row>
    <row r="296" ht="19.5" customHeight="1">
      <c r="A296" s="28"/>
    </row>
    <row r="297" ht="19.5" customHeight="1">
      <c r="A297" s="28"/>
    </row>
    <row r="298" ht="19.5" customHeight="1">
      <c r="A298" s="28"/>
    </row>
    <row r="299" ht="19.5" customHeight="1">
      <c r="A299" s="28"/>
    </row>
    <row r="300" ht="19.5" customHeight="1">
      <c r="A300" s="28"/>
    </row>
    <row r="301" ht="19.5" customHeight="1">
      <c r="A301" s="28"/>
    </row>
    <row r="302" ht="19.5" customHeight="1">
      <c r="A302" s="28"/>
    </row>
    <row r="303" ht="19.5" customHeight="1">
      <c r="A303" s="28"/>
    </row>
    <row r="304" ht="19.5" customHeight="1">
      <c r="A304" s="28"/>
    </row>
    <row r="305" ht="19.5" customHeight="1">
      <c r="A305" s="28"/>
    </row>
    <row r="306" ht="19.5" customHeight="1">
      <c r="A306" s="28"/>
    </row>
    <row r="307" ht="19.5" customHeight="1">
      <c r="A307" s="28"/>
    </row>
    <row r="308" ht="19.5" customHeight="1">
      <c r="A308" s="28"/>
    </row>
    <row r="309" ht="19.5" customHeight="1">
      <c r="A309" s="28"/>
    </row>
    <row r="310" ht="19.5" customHeight="1">
      <c r="A310" s="28"/>
    </row>
    <row r="311" ht="19.5" customHeight="1">
      <c r="A311" s="28"/>
    </row>
    <row r="312" ht="19.5" customHeight="1">
      <c r="A312" s="28"/>
    </row>
    <row r="313" ht="19.5" customHeight="1">
      <c r="A313" s="28"/>
    </row>
    <row r="314" ht="19.5" customHeight="1">
      <c r="A314" s="28"/>
    </row>
    <row r="315" ht="19.5" customHeight="1">
      <c r="A315" s="28"/>
    </row>
    <row r="316" ht="19.5" customHeight="1">
      <c r="A316" s="28"/>
    </row>
    <row r="317" ht="19.5" customHeight="1">
      <c r="A317" s="28"/>
    </row>
    <row r="318" ht="19.5" customHeight="1">
      <c r="A318" s="28"/>
    </row>
    <row r="319" ht="19.5" customHeight="1">
      <c r="A319" s="28"/>
    </row>
    <row r="320" ht="19.5" customHeight="1">
      <c r="A320" s="28"/>
    </row>
    <row r="321" ht="19.5" customHeight="1">
      <c r="A321" s="28"/>
    </row>
    <row r="322" ht="19.5" customHeight="1">
      <c r="A322" s="28"/>
    </row>
    <row r="323" ht="19.5" customHeight="1">
      <c r="A323" s="28"/>
    </row>
    <row r="324" ht="19.5" customHeight="1">
      <c r="A324" s="28"/>
    </row>
    <row r="325" ht="19.5" customHeight="1">
      <c r="A325" s="28"/>
    </row>
    <row r="326" ht="19.5" customHeight="1">
      <c r="A326" s="28"/>
    </row>
    <row r="327" ht="19.5" customHeight="1">
      <c r="A327" s="28"/>
    </row>
    <row r="328" ht="19.5" customHeight="1">
      <c r="A328" s="28"/>
    </row>
    <row r="329" ht="19.5" customHeight="1">
      <c r="A329" s="28"/>
    </row>
    <row r="330" ht="19.5" customHeight="1">
      <c r="A330" s="28"/>
    </row>
    <row r="331" ht="19.5" customHeight="1">
      <c r="A331" s="28"/>
    </row>
    <row r="332" ht="19.5" customHeight="1">
      <c r="A332" s="28"/>
    </row>
    <row r="333" ht="19.5" customHeight="1">
      <c r="A333" s="28"/>
    </row>
    <row r="334" ht="19.5" customHeight="1">
      <c r="A334" s="28"/>
    </row>
    <row r="335" ht="19.5" customHeight="1">
      <c r="A335" s="28"/>
    </row>
    <row r="336" ht="19.5" customHeight="1">
      <c r="A336" s="28"/>
    </row>
    <row r="337" ht="19.5" customHeight="1">
      <c r="A337" s="28"/>
    </row>
    <row r="338" ht="19.5" customHeight="1">
      <c r="A338" s="28"/>
    </row>
    <row r="339" ht="19.5" customHeight="1">
      <c r="A339" s="28"/>
    </row>
    <row r="340" ht="19.5" customHeight="1">
      <c r="A340" s="28"/>
    </row>
    <row r="341" ht="19.5" customHeight="1">
      <c r="A341" s="28"/>
    </row>
    <row r="342" ht="19.5" customHeight="1">
      <c r="A342" s="28"/>
    </row>
    <row r="343" ht="19.5" customHeight="1">
      <c r="A343" s="28"/>
    </row>
    <row r="344" ht="19.5" customHeight="1">
      <c r="A344" s="28"/>
    </row>
    <row r="345" ht="19.5" customHeight="1">
      <c r="A345" s="28"/>
    </row>
    <row r="346" ht="19.5" customHeight="1">
      <c r="A346" s="28"/>
    </row>
    <row r="347" ht="19.5" customHeight="1">
      <c r="A347" s="28"/>
    </row>
    <row r="348" ht="19.5" customHeight="1">
      <c r="A348" s="28"/>
    </row>
    <row r="349" ht="19.5" customHeight="1">
      <c r="A349" s="28"/>
    </row>
    <row r="350" ht="19.5" customHeight="1">
      <c r="A350" s="28"/>
    </row>
    <row r="351" ht="19.5" customHeight="1">
      <c r="A351" s="28"/>
    </row>
    <row r="352" ht="19.5" customHeight="1">
      <c r="A352" s="28"/>
    </row>
    <row r="353" ht="19.5" customHeight="1">
      <c r="A353" s="28"/>
    </row>
    <row r="354" ht="19.5" customHeight="1">
      <c r="A354" s="28"/>
    </row>
    <row r="355" ht="19.5" customHeight="1">
      <c r="A355" s="28"/>
    </row>
    <row r="356" ht="19.5" customHeight="1">
      <c r="A356" s="28"/>
    </row>
    <row r="357" ht="19.5" customHeight="1">
      <c r="A357" s="28"/>
    </row>
    <row r="358" ht="19.5" customHeight="1">
      <c r="A358" s="28"/>
    </row>
    <row r="359" ht="19.5" customHeight="1">
      <c r="A359" s="28"/>
    </row>
    <row r="360" ht="19.5" customHeight="1">
      <c r="A360" s="28"/>
    </row>
    <row r="361" ht="19.5" customHeight="1">
      <c r="A361" s="28"/>
    </row>
    <row r="362" ht="19.5" customHeight="1">
      <c r="A362" s="28"/>
    </row>
    <row r="363" ht="19.5" customHeight="1">
      <c r="A363" s="28"/>
    </row>
    <row r="364" ht="19.5" customHeight="1">
      <c r="A364" s="28"/>
    </row>
    <row r="365" ht="19.5" customHeight="1">
      <c r="A365" s="28"/>
    </row>
    <row r="366" ht="19.5" customHeight="1">
      <c r="A366" s="28"/>
    </row>
    <row r="367" ht="19.5" customHeight="1">
      <c r="A367" s="28"/>
    </row>
    <row r="368" ht="19.5" customHeight="1">
      <c r="A368" s="28"/>
    </row>
    <row r="369" ht="19.5" customHeight="1">
      <c r="A369" s="28"/>
    </row>
    <row r="370" ht="19.5" customHeight="1">
      <c r="A370" s="28"/>
    </row>
    <row r="371" ht="19.5" customHeight="1">
      <c r="A371" s="28"/>
    </row>
    <row r="372" ht="19.5" customHeight="1">
      <c r="A372" s="28"/>
    </row>
    <row r="373" ht="19.5" customHeight="1">
      <c r="A373" s="28"/>
    </row>
    <row r="374" ht="19.5" customHeight="1">
      <c r="A374" s="28"/>
    </row>
    <row r="375" ht="19.5" customHeight="1">
      <c r="A375" s="28"/>
    </row>
    <row r="376" ht="19.5" customHeight="1">
      <c r="A376" s="28"/>
    </row>
    <row r="377" ht="19.5" customHeight="1">
      <c r="A377" s="28"/>
    </row>
    <row r="378" ht="19.5" customHeight="1">
      <c r="A378" s="28"/>
    </row>
    <row r="379" ht="19.5" customHeight="1">
      <c r="A379" s="28"/>
    </row>
    <row r="380" ht="19.5" customHeight="1">
      <c r="A380" s="28"/>
    </row>
    <row r="381" ht="19.5" customHeight="1">
      <c r="A381" s="28"/>
    </row>
    <row r="382" ht="19.5" customHeight="1">
      <c r="A382" s="28"/>
    </row>
    <row r="383" ht="19.5" customHeight="1">
      <c r="A383" s="28"/>
    </row>
    <row r="384" ht="19.5" customHeight="1">
      <c r="A384" s="28"/>
    </row>
    <row r="385" ht="19.5" customHeight="1">
      <c r="A385" s="28"/>
    </row>
    <row r="386" ht="19.5" customHeight="1">
      <c r="A386" s="28"/>
    </row>
    <row r="387" ht="19.5" customHeight="1">
      <c r="A387" s="28"/>
    </row>
    <row r="388" ht="19.5" customHeight="1">
      <c r="A388" s="28"/>
    </row>
    <row r="389" ht="19.5" customHeight="1">
      <c r="A389" s="28"/>
    </row>
    <row r="390" ht="19.5" customHeight="1">
      <c r="A390" s="28"/>
    </row>
    <row r="391" ht="19.5" customHeight="1">
      <c r="A391" s="28"/>
    </row>
    <row r="392" ht="19.5" customHeight="1">
      <c r="A392" s="28"/>
    </row>
    <row r="393" ht="19.5" customHeight="1">
      <c r="A393" s="28"/>
    </row>
    <row r="394" ht="19.5" customHeight="1">
      <c r="A394" s="28"/>
    </row>
    <row r="395" ht="19.5" customHeight="1">
      <c r="A395" s="28"/>
    </row>
    <row r="396" ht="19.5" customHeight="1">
      <c r="A396" s="28"/>
    </row>
    <row r="397" ht="19.5" customHeight="1">
      <c r="A397" s="28"/>
    </row>
    <row r="398" ht="19.5" customHeight="1">
      <c r="A398" s="28"/>
    </row>
    <row r="399" ht="19.5" customHeight="1">
      <c r="A399" s="28"/>
    </row>
    <row r="400" ht="19.5" customHeight="1">
      <c r="A400" s="28"/>
    </row>
    <row r="401" ht="19.5" customHeight="1">
      <c r="A401" s="28"/>
    </row>
    <row r="402" ht="19.5" customHeight="1">
      <c r="A402" s="28"/>
    </row>
    <row r="403" ht="19.5" customHeight="1">
      <c r="A403" s="28"/>
    </row>
    <row r="404" ht="19.5" customHeight="1">
      <c r="A404" s="28"/>
    </row>
    <row r="405" ht="19.5" customHeight="1">
      <c r="A405" s="28"/>
    </row>
    <row r="406" ht="19.5" customHeight="1">
      <c r="A406" s="28"/>
    </row>
    <row r="407" ht="19.5" customHeight="1">
      <c r="A407" s="28"/>
    </row>
    <row r="408" ht="19.5" customHeight="1">
      <c r="A408" s="28"/>
    </row>
    <row r="409" ht="19.5" customHeight="1">
      <c r="A409" s="28"/>
    </row>
    <row r="410" ht="19.5" customHeight="1">
      <c r="A410" s="28"/>
    </row>
    <row r="411" ht="19.5" customHeight="1">
      <c r="A411" s="28"/>
    </row>
    <row r="412" ht="19.5" customHeight="1">
      <c r="A412" s="28"/>
    </row>
    <row r="413" ht="19.5" customHeight="1">
      <c r="A413" s="28"/>
    </row>
    <row r="414" ht="19.5" customHeight="1">
      <c r="A414" s="28"/>
    </row>
    <row r="415" ht="19.5" customHeight="1">
      <c r="A415" s="28"/>
    </row>
    <row r="416" ht="19.5" customHeight="1">
      <c r="A416" s="28"/>
    </row>
    <row r="417" ht="19.5" customHeight="1">
      <c r="A417" s="28"/>
    </row>
    <row r="418" ht="19.5" customHeight="1">
      <c r="A418" s="28"/>
    </row>
    <row r="419" ht="19.5" customHeight="1">
      <c r="A419" s="28"/>
    </row>
    <row r="420" ht="19.5" customHeight="1">
      <c r="A420" s="28"/>
    </row>
    <row r="421" ht="19.5" customHeight="1">
      <c r="A421" s="28"/>
    </row>
    <row r="422" ht="19.5" customHeight="1">
      <c r="A422" s="28"/>
    </row>
    <row r="423" ht="19.5" customHeight="1">
      <c r="A423" s="28"/>
    </row>
    <row r="424" ht="19.5" customHeight="1">
      <c r="A424" s="28"/>
    </row>
    <row r="425" ht="19.5" customHeight="1">
      <c r="A425" s="28"/>
    </row>
    <row r="426" ht="19.5" customHeight="1">
      <c r="A426" s="28"/>
    </row>
    <row r="427" ht="19.5" customHeight="1">
      <c r="A427" s="28"/>
    </row>
    <row r="428" ht="19.5" customHeight="1">
      <c r="A428" s="28"/>
    </row>
    <row r="429" ht="19.5" customHeight="1">
      <c r="A429" s="28"/>
    </row>
    <row r="430" ht="19.5" customHeight="1">
      <c r="A430" s="28"/>
    </row>
    <row r="431" ht="19.5" customHeight="1">
      <c r="A431" s="28"/>
    </row>
    <row r="432" ht="19.5" customHeight="1">
      <c r="A432" s="28"/>
    </row>
    <row r="433" ht="19.5" customHeight="1">
      <c r="A433" s="28"/>
    </row>
    <row r="434" ht="19.5" customHeight="1">
      <c r="A434" s="28"/>
    </row>
    <row r="435" ht="19.5" customHeight="1">
      <c r="A435" s="28"/>
    </row>
    <row r="436" ht="19.5" customHeight="1">
      <c r="A436" s="28"/>
    </row>
    <row r="437" ht="19.5" customHeight="1">
      <c r="A437" s="28"/>
    </row>
    <row r="438" ht="19.5" customHeight="1">
      <c r="A438" s="28"/>
    </row>
    <row r="439" ht="19.5" customHeight="1">
      <c r="A439" s="28"/>
    </row>
    <row r="440" ht="19.5" customHeight="1">
      <c r="A440" s="28"/>
    </row>
    <row r="441" ht="19.5" customHeight="1">
      <c r="A441" s="28"/>
    </row>
    <row r="442" ht="19.5" customHeight="1">
      <c r="A442" s="28"/>
    </row>
    <row r="443" ht="19.5" customHeight="1">
      <c r="A443" s="28"/>
    </row>
    <row r="444" ht="19.5" customHeight="1">
      <c r="A444" s="28"/>
    </row>
    <row r="445" ht="19.5" customHeight="1">
      <c r="A445" s="28"/>
    </row>
    <row r="446" ht="19.5" customHeight="1">
      <c r="A446" s="28"/>
    </row>
    <row r="447" ht="19.5" customHeight="1">
      <c r="A447" s="28"/>
    </row>
    <row r="448" ht="19.5" customHeight="1">
      <c r="A448" s="28"/>
    </row>
    <row r="449" ht="19.5" customHeight="1">
      <c r="A449" s="28"/>
    </row>
    <row r="450" ht="19.5" customHeight="1">
      <c r="A450" s="28"/>
    </row>
    <row r="451" ht="19.5" customHeight="1">
      <c r="A451" s="28"/>
    </row>
    <row r="452" ht="19.5" customHeight="1">
      <c r="A452" s="28"/>
    </row>
    <row r="453" ht="19.5" customHeight="1">
      <c r="A453" s="28"/>
    </row>
    <row r="454" ht="19.5" customHeight="1">
      <c r="A454" s="28"/>
    </row>
    <row r="455" ht="19.5" customHeight="1">
      <c r="A455" s="28"/>
    </row>
    <row r="456" ht="19.5" customHeight="1">
      <c r="A456" s="28"/>
    </row>
    <row r="457" ht="19.5" customHeight="1">
      <c r="A457" s="28"/>
    </row>
    <row r="458" ht="19.5" customHeight="1">
      <c r="A458" s="28"/>
    </row>
    <row r="459" ht="19.5" customHeight="1">
      <c r="A459" s="28"/>
    </row>
    <row r="460" ht="19.5" customHeight="1">
      <c r="A460" s="28"/>
    </row>
    <row r="461" ht="19.5" customHeight="1">
      <c r="A461" s="28"/>
    </row>
    <row r="462" ht="19.5" customHeight="1">
      <c r="A462" s="28"/>
    </row>
    <row r="463" ht="19.5" customHeight="1">
      <c r="A463" s="28"/>
    </row>
    <row r="464" ht="19.5" customHeight="1">
      <c r="A464" s="28"/>
    </row>
    <row r="465" ht="19.5" customHeight="1">
      <c r="A465" s="28"/>
    </row>
    <row r="466" ht="19.5" customHeight="1">
      <c r="A466" s="28"/>
    </row>
    <row r="467" ht="19.5" customHeight="1">
      <c r="A467" s="28"/>
    </row>
    <row r="468" ht="19.5" customHeight="1">
      <c r="A468" s="28"/>
    </row>
    <row r="469" ht="19.5" customHeight="1">
      <c r="A469" s="28"/>
    </row>
    <row r="470" ht="19.5" customHeight="1">
      <c r="A470" s="28"/>
    </row>
    <row r="471" ht="19.5" customHeight="1">
      <c r="A471" s="28"/>
    </row>
    <row r="472" ht="19.5" customHeight="1">
      <c r="A472" s="28"/>
    </row>
    <row r="473" ht="19.5" customHeight="1">
      <c r="A473" s="28"/>
    </row>
    <row r="474" ht="19.5" customHeight="1">
      <c r="A474" s="28"/>
    </row>
    <row r="475" ht="19.5" customHeight="1">
      <c r="A475" s="28"/>
    </row>
    <row r="476" ht="19.5" customHeight="1">
      <c r="A476" s="28"/>
    </row>
    <row r="477" ht="19.5" customHeight="1">
      <c r="A477" s="28"/>
    </row>
    <row r="478" ht="19.5" customHeight="1">
      <c r="A478" s="28"/>
    </row>
    <row r="479" ht="19.5" customHeight="1">
      <c r="A479" s="28"/>
    </row>
    <row r="480" ht="19.5" customHeight="1">
      <c r="A480" s="28"/>
    </row>
    <row r="481" ht="19.5" customHeight="1">
      <c r="A481" s="28"/>
    </row>
    <row r="482" ht="19.5" customHeight="1">
      <c r="A482" s="28"/>
    </row>
    <row r="483" ht="19.5" customHeight="1">
      <c r="A483" s="28"/>
    </row>
    <row r="484" ht="19.5" customHeight="1">
      <c r="A484" s="28"/>
    </row>
    <row r="485" ht="19.5" customHeight="1">
      <c r="A485" s="28"/>
    </row>
    <row r="486" ht="19.5" customHeight="1">
      <c r="A486" s="28"/>
    </row>
    <row r="487" ht="19.5" customHeight="1">
      <c r="A487" s="28"/>
    </row>
    <row r="488" ht="19.5" customHeight="1">
      <c r="A488" s="28"/>
    </row>
    <row r="489" ht="19.5" customHeight="1">
      <c r="A489" s="28"/>
    </row>
    <row r="490" ht="19.5" customHeight="1">
      <c r="A490" s="28"/>
    </row>
    <row r="491" ht="19.5" customHeight="1">
      <c r="A491" s="28"/>
    </row>
    <row r="492" ht="19.5" customHeight="1">
      <c r="A492" s="28"/>
    </row>
    <row r="493" ht="19.5" customHeight="1">
      <c r="A493" s="28"/>
    </row>
    <row r="494" ht="19.5" customHeight="1">
      <c r="A494" s="28"/>
    </row>
    <row r="495" ht="19.5" customHeight="1">
      <c r="A495" s="28"/>
    </row>
    <row r="496" ht="19.5" customHeight="1">
      <c r="A496" s="28"/>
    </row>
    <row r="497" ht="19.5" customHeight="1">
      <c r="A497" s="28"/>
    </row>
    <row r="498" ht="19.5" customHeight="1">
      <c r="A498" s="28"/>
    </row>
    <row r="499" ht="19.5" customHeight="1">
      <c r="A499" s="28"/>
    </row>
    <row r="500" ht="19.5" customHeight="1">
      <c r="A500" s="28"/>
    </row>
    <row r="501" ht="19.5" customHeight="1">
      <c r="A501" s="28"/>
    </row>
    <row r="502" ht="19.5" customHeight="1">
      <c r="A502" s="28"/>
    </row>
    <row r="503" ht="19.5" customHeight="1">
      <c r="A503" s="28"/>
    </row>
    <row r="504" ht="19.5" customHeight="1">
      <c r="A504" s="28"/>
    </row>
    <row r="505" ht="19.5" customHeight="1">
      <c r="A505" s="28"/>
    </row>
    <row r="506" ht="19.5" customHeight="1">
      <c r="A506" s="28"/>
    </row>
    <row r="507" ht="19.5" customHeight="1">
      <c r="A507" s="28"/>
    </row>
    <row r="508" ht="19.5" customHeight="1">
      <c r="A508" s="28"/>
    </row>
    <row r="509" ht="19.5" customHeight="1">
      <c r="A509" s="28"/>
    </row>
    <row r="510" ht="19.5" customHeight="1">
      <c r="A510" s="28"/>
    </row>
    <row r="511" ht="19.5" customHeight="1">
      <c r="A511" s="28"/>
    </row>
    <row r="512" ht="19.5" customHeight="1">
      <c r="A512" s="28"/>
    </row>
    <row r="513" ht="19.5" customHeight="1">
      <c r="A513" s="28"/>
    </row>
    <row r="514" ht="19.5" customHeight="1">
      <c r="A514" s="28"/>
    </row>
    <row r="515" ht="19.5" customHeight="1">
      <c r="A515" s="28"/>
    </row>
    <row r="516" ht="19.5" customHeight="1">
      <c r="A516" s="28"/>
    </row>
    <row r="517" ht="19.5" customHeight="1">
      <c r="A517" s="28"/>
    </row>
    <row r="518" ht="19.5" customHeight="1">
      <c r="A518" s="28"/>
    </row>
    <row r="519" ht="19.5" customHeight="1">
      <c r="A519" s="28"/>
    </row>
    <row r="520" ht="19.5" customHeight="1">
      <c r="A520" s="28"/>
    </row>
    <row r="521" ht="19.5" customHeight="1">
      <c r="A521" s="28"/>
    </row>
    <row r="522" ht="19.5" customHeight="1">
      <c r="A522" s="28"/>
    </row>
    <row r="523" ht="19.5" customHeight="1">
      <c r="A523" s="28"/>
    </row>
    <row r="524" ht="19.5" customHeight="1">
      <c r="A524" s="28"/>
    </row>
    <row r="525" ht="19.5" customHeight="1">
      <c r="A525" s="28"/>
    </row>
    <row r="526" ht="19.5" customHeight="1">
      <c r="A526" s="28"/>
    </row>
    <row r="527" ht="19.5" customHeight="1">
      <c r="A527" s="28"/>
    </row>
    <row r="528" ht="19.5" customHeight="1">
      <c r="A528" s="28"/>
    </row>
    <row r="529" ht="19.5" customHeight="1">
      <c r="A529" s="28"/>
    </row>
    <row r="530" ht="19.5" customHeight="1">
      <c r="A530" s="28"/>
    </row>
    <row r="531" ht="19.5" customHeight="1">
      <c r="A531" s="28"/>
    </row>
    <row r="532" ht="19.5" customHeight="1">
      <c r="A532" s="28"/>
    </row>
    <row r="533" ht="19.5" customHeight="1">
      <c r="A533" s="28"/>
    </row>
    <row r="534" ht="19.5" customHeight="1">
      <c r="A534" s="28"/>
    </row>
    <row r="535" ht="19.5" customHeight="1">
      <c r="A535" s="28"/>
    </row>
    <row r="536" ht="19.5" customHeight="1">
      <c r="A536" s="28"/>
    </row>
    <row r="537" ht="19.5" customHeight="1">
      <c r="A537" s="28"/>
    </row>
    <row r="538" ht="19.5" customHeight="1">
      <c r="A538" s="28"/>
    </row>
    <row r="539" ht="19.5" customHeight="1">
      <c r="A539" s="28"/>
    </row>
    <row r="540" ht="19.5" customHeight="1">
      <c r="A540" s="28"/>
    </row>
    <row r="541" ht="19.5" customHeight="1">
      <c r="A541" s="28"/>
    </row>
    <row r="542" ht="19.5" customHeight="1">
      <c r="A542" s="28"/>
    </row>
    <row r="543" ht="19.5" customHeight="1">
      <c r="A543" s="28"/>
    </row>
    <row r="544" ht="19.5" customHeight="1">
      <c r="A544" s="28"/>
    </row>
    <row r="545" ht="19.5" customHeight="1">
      <c r="A545" s="28"/>
    </row>
    <row r="546" ht="19.5" customHeight="1">
      <c r="A546" s="28"/>
    </row>
    <row r="547" ht="19.5" customHeight="1">
      <c r="A547" s="28"/>
    </row>
    <row r="548" ht="19.5" customHeight="1">
      <c r="A548" s="28"/>
    </row>
    <row r="549" ht="19.5" customHeight="1">
      <c r="A549" s="28"/>
    </row>
    <row r="550" ht="19.5" customHeight="1">
      <c r="A550" s="28"/>
    </row>
    <row r="551" ht="19.5" customHeight="1">
      <c r="A551" s="28"/>
    </row>
    <row r="552" ht="19.5" customHeight="1">
      <c r="A552" s="28"/>
    </row>
    <row r="553" ht="19.5" customHeight="1">
      <c r="A553" s="28"/>
    </row>
    <row r="554" ht="19.5" customHeight="1">
      <c r="A554" s="28"/>
    </row>
    <row r="555" ht="19.5" customHeight="1">
      <c r="A555" s="28"/>
    </row>
    <row r="556" ht="19.5" customHeight="1">
      <c r="A556" s="28"/>
    </row>
    <row r="557" ht="19.5" customHeight="1">
      <c r="A557" s="28"/>
    </row>
    <row r="558" ht="19.5" customHeight="1">
      <c r="A558" s="28"/>
    </row>
    <row r="559" ht="19.5" customHeight="1">
      <c r="A559" s="28"/>
    </row>
    <row r="560" ht="19.5" customHeight="1">
      <c r="A560" s="28"/>
    </row>
    <row r="561" ht="19.5" customHeight="1">
      <c r="A561" s="28"/>
    </row>
    <row r="562" ht="19.5" customHeight="1">
      <c r="A562" s="28"/>
    </row>
    <row r="563" ht="19.5" customHeight="1">
      <c r="A563" s="28"/>
    </row>
    <row r="564" ht="19.5" customHeight="1">
      <c r="A564" s="28"/>
    </row>
    <row r="565" ht="19.5" customHeight="1">
      <c r="A565" s="28"/>
    </row>
    <row r="566" ht="19.5" customHeight="1">
      <c r="A566" s="28"/>
    </row>
    <row r="567" ht="19.5" customHeight="1">
      <c r="A567" s="28"/>
    </row>
    <row r="568" ht="19.5" customHeight="1">
      <c r="A568" s="28"/>
    </row>
    <row r="569" ht="19.5" customHeight="1">
      <c r="A569" s="28"/>
    </row>
    <row r="570" ht="19.5" customHeight="1">
      <c r="A570" s="28"/>
    </row>
    <row r="571" ht="19.5" customHeight="1">
      <c r="A571" s="28"/>
    </row>
    <row r="572" ht="19.5" customHeight="1">
      <c r="A572" s="28"/>
    </row>
    <row r="573" ht="19.5" customHeight="1">
      <c r="A573" s="28"/>
    </row>
    <row r="574" ht="19.5" customHeight="1">
      <c r="A574" s="28"/>
    </row>
    <row r="575" ht="19.5" customHeight="1">
      <c r="A575" s="28"/>
    </row>
    <row r="576" ht="19.5" customHeight="1">
      <c r="A576" s="28"/>
    </row>
    <row r="577" ht="19.5" customHeight="1">
      <c r="A577" s="28"/>
    </row>
    <row r="578" ht="19.5" customHeight="1">
      <c r="A578" s="28"/>
    </row>
    <row r="579" ht="19.5" customHeight="1">
      <c r="A579" s="28"/>
    </row>
    <row r="580" ht="19.5" customHeight="1">
      <c r="A580" s="28"/>
    </row>
    <row r="581" ht="19.5" customHeight="1">
      <c r="A581" s="28"/>
    </row>
    <row r="582" ht="19.5" customHeight="1">
      <c r="A582" s="28"/>
    </row>
    <row r="583" ht="19.5" customHeight="1">
      <c r="A583" s="28"/>
    </row>
    <row r="584" ht="19.5" customHeight="1">
      <c r="A584" s="28"/>
    </row>
    <row r="585" ht="19.5" customHeight="1">
      <c r="A585" s="28"/>
    </row>
    <row r="586" ht="19.5" customHeight="1">
      <c r="A586" s="28"/>
    </row>
    <row r="587" ht="19.5" customHeight="1">
      <c r="A587" s="28"/>
    </row>
    <row r="588" ht="19.5" customHeight="1">
      <c r="A588" s="28"/>
    </row>
    <row r="589" ht="19.5" customHeight="1">
      <c r="A589" s="28"/>
    </row>
    <row r="590" ht="19.5" customHeight="1">
      <c r="A590" s="28"/>
    </row>
    <row r="591" ht="19.5" customHeight="1">
      <c r="A591" s="28"/>
    </row>
    <row r="592" ht="19.5" customHeight="1">
      <c r="A592" s="28"/>
    </row>
    <row r="593" ht="19.5" customHeight="1">
      <c r="A593" s="28"/>
    </row>
    <row r="594" ht="19.5" customHeight="1">
      <c r="A594" s="28"/>
    </row>
    <row r="595" ht="19.5" customHeight="1">
      <c r="A595" s="28"/>
    </row>
    <row r="596" ht="19.5" customHeight="1">
      <c r="A596" s="28"/>
    </row>
    <row r="597" ht="19.5" customHeight="1">
      <c r="A597" s="28"/>
    </row>
    <row r="598" ht="19.5" customHeight="1">
      <c r="A598" s="28"/>
    </row>
    <row r="599" ht="19.5" customHeight="1">
      <c r="A599" s="28"/>
    </row>
    <row r="600" ht="19.5" customHeight="1">
      <c r="A600" s="28"/>
    </row>
    <row r="601" ht="19.5" customHeight="1">
      <c r="A601" s="28"/>
    </row>
    <row r="602" ht="19.5" customHeight="1">
      <c r="A602" s="28"/>
    </row>
    <row r="603" ht="19.5" customHeight="1">
      <c r="A603" s="28"/>
    </row>
    <row r="604" ht="19.5" customHeight="1">
      <c r="A604" s="28"/>
    </row>
    <row r="605" ht="19.5" customHeight="1">
      <c r="A605" s="28"/>
    </row>
    <row r="606" ht="19.5" customHeight="1">
      <c r="A606" s="28"/>
    </row>
    <row r="607" ht="19.5" customHeight="1">
      <c r="A607" s="28"/>
    </row>
    <row r="608" ht="19.5" customHeight="1">
      <c r="A608" s="28"/>
    </row>
    <row r="609" ht="19.5" customHeight="1">
      <c r="A609" s="28"/>
    </row>
    <row r="610" ht="19.5" customHeight="1">
      <c r="A610" s="28"/>
    </row>
    <row r="611" ht="19.5" customHeight="1">
      <c r="A611" s="28"/>
    </row>
    <row r="612" ht="19.5" customHeight="1">
      <c r="A612" s="28"/>
    </row>
    <row r="613" ht="19.5" customHeight="1">
      <c r="A613" s="28"/>
    </row>
    <row r="614" ht="19.5" customHeight="1">
      <c r="A614" s="28"/>
    </row>
    <row r="615" ht="19.5" customHeight="1">
      <c r="A615" s="28"/>
    </row>
    <row r="616" ht="19.5" customHeight="1">
      <c r="A616" s="28"/>
    </row>
    <row r="617" ht="19.5" customHeight="1">
      <c r="A617" s="28"/>
    </row>
    <row r="618" ht="19.5" customHeight="1">
      <c r="A618" s="28"/>
    </row>
    <row r="619" ht="19.5" customHeight="1">
      <c r="A619" s="28"/>
    </row>
    <row r="620" ht="19.5" customHeight="1">
      <c r="A620" s="28"/>
    </row>
    <row r="621" ht="19.5" customHeight="1">
      <c r="A621" s="28"/>
    </row>
    <row r="622" ht="19.5" customHeight="1">
      <c r="A622" s="28"/>
    </row>
    <row r="623" ht="19.5" customHeight="1">
      <c r="A623" s="28"/>
    </row>
    <row r="624" ht="19.5" customHeight="1">
      <c r="A624" s="28"/>
    </row>
    <row r="625" ht="19.5" customHeight="1">
      <c r="A625" s="28"/>
    </row>
    <row r="626" ht="19.5" customHeight="1">
      <c r="A626" s="28"/>
    </row>
    <row r="627" ht="19.5" customHeight="1">
      <c r="A627" s="28"/>
    </row>
    <row r="628" ht="19.5" customHeight="1">
      <c r="A628" s="28"/>
    </row>
    <row r="629" ht="19.5" customHeight="1">
      <c r="A629" s="28"/>
    </row>
    <row r="630" ht="19.5" customHeight="1">
      <c r="A630" s="28"/>
    </row>
    <row r="631" ht="19.5" customHeight="1">
      <c r="A631" s="28"/>
    </row>
    <row r="632" ht="19.5" customHeight="1">
      <c r="A632" s="28"/>
    </row>
    <row r="633" ht="19.5" customHeight="1">
      <c r="A633" s="28"/>
    </row>
    <row r="634" ht="19.5" customHeight="1">
      <c r="A634" s="28"/>
    </row>
    <row r="635" ht="19.5" customHeight="1">
      <c r="A635" s="28"/>
    </row>
    <row r="636" ht="19.5" customHeight="1">
      <c r="A636" s="28"/>
    </row>
    <row r="637" ht="19.5" customHeight="1">
      <c r="A637" s="28"/>
    </row>
    <row r="638" ht="19.5" customHeight="1">
      <c r="A638" s="28"/>
    </row>
    <row r="639" ht="19.5" customHeight="1">
      <c r="A639" s="28"/>
    </row>
    <row r="640" ht="19.5" customHeight="1">
      <c r="A640" s="28"/>
    </row>
    <row r="641" ht="19.5" customHeight="1">
      <c r="A641" s="28"/>
    </row>
    <row r="642" ht="19.5" customHeight="1">
      <c r="A642" s="28"/>
    </row>
    <row r="643" ht="19.5" customHeight="1">
      <c r="A643" s="28"/>
    </row>
    <row r="644" ht="19.5" customHeight="1">
      <c r="A644" s="28"/>
    </row>
    <row r="645" ht="19.5" customHeight="1">
      <c r="A645" s="28"/>
    </row>
    <row r="646" ht="19.5" customHeight="1">
      <c r="A646" s="28"/>
    </row>
    <row r="647" ht="19.5" customHeight="1">
      <c r="A647" s="28"/>
    </row>
    <row r="648" ht="19.5" customHeight="1">
      <c r="A648" s="28"/>
    </row>
    <row r="649" ht="19.5" customHeight="1">
      <c r="A649" s="28"/>
    </row>
    <row r="650" ht="19.5" customHeight="1">
      <c r="A650" s="28"/>
    </row>
    <row r="651" ht="19.5" customHeight="1">
      <c r="A651" s="28"/>
    </row>
    <row r="652" ht="19.5" customHeight="1">
      <c r="A652" s="28"/>
    </row>
    <row r="653" ht="19.5" customHeight="1">
      <c r="A653" s="28"/>
    </row>
    <row r="654" ht="19.5" customHeight="1">
      <c r="A654" s="28"/>
    </row>
    <row r="655" ht="19.5" customHeight="1">
      <c r="A655" s="28"/>
    </row>
    <row r="656" ht="19.5" customHeight="1">
      <c r="A656" s="28"/>
    </row>
    <row r="657" ht="19.5" customHeight="1">
      <c r="A657" s="28"/>
    </row>
    <row r="658" ht="19.5" customHeight="1">
      <c r="A658" s="28"/>
    </row>
    <row r="659" ht="19.5" customHeight="1">
      <c r="A659" s="28"/>
    </row>
    <row r="660" ht="19.5" customHeight="1">
      <c r="A660" s="28"/>
    </row>
    <row r="661" ht="19.5" customHeight="1">
      <c r="A661" s="28"/>
    </row>
    <row r="662" ht="19.5" customHeight="1">
      <c r="A662" s="28"/>
    </row>
    <row r="663" ht="19.5" customHeight="1">
      <c r="A663" s="28"/>
    </row>
    <row r="664" ht="19.5" customHeight="1">
      <c r="A664" s="28"/>
    </row>
    <row r="665" ht="19.5" customHeight="1">
      <c r="A665" s="28"/>
    </row>
    <row r="666" ht="19.5" customHeight="1">
      <c r="A666" s="28"/>
    </row>
    <row r="667" ht="19.5" customHeight="1">
      <c r="A667" s="28"/>
    </row>
    <row r="668" ht="19.5" customHeight="1">
      <c r="A668" s="28"/>
    </row>
    <row r="669" ht="19.5" customHeight="1">
      <c r="A669" s="28"/>
    </row>
    <row r="670" ht="19.5" customHeight="1">
      <c r="A670" s="28"/>
    </row>
    <row r="671" ht="19.5" customHeight="1">
      <c r="A671" s="28"/>
    </row>
    <row r="672" ht="19.5" customHeight="1">
      <c r="A672" s="28"/>
    </row>
    <row r="673" ht="19.5" customHeight="1">
      <c r="A673" s="28"/>
    </row>
    <row r="674" ht="19.5" customHeight="1">
      <c r="A674" s="28"/>
    </row>
    <row r="675" ht="19.5" customHeight="1">
      <c r="A675" s="28"/>
    </row>
    <row r="676" ht="19.5" customHeight="1">
      <c r="A676" s="28"/>
    </row>
    <row r="677" ht="19.5" customHeight="1">
      <c r="A677" s="28"/>
    </row>
    <row r="678" ht="19.5" customHeight="1">
      <c r="A678" s="28"/>
    </row>
    <row r="679" ht="19.5" customHeight="1">
      <c r="A679" s="28"/>
    </row>
    <row r="680" ht="19.5" customHeight="1">
      <c r="A680" s="28"/>
    </row>
    <row r="681" ht="19.5" customHeight="1">
      <c r="A681" s="28"/>
    </row>
    <row r="682" ht="19.5" customHeight="1">
      <c r="A682" s="28"/>
    </row>
    <row r="683" ht="19.5" customHeight="1">
      <c r="A683" s="28"/>
    </row>
    <row r="684" ht="19.5" customHeight="1">
      <c r="A684" s="28"/>
    </row>
    <row r="685" ht="19.5" customHeight="1">
      <c r="A685" s="28"/>
    </row>
    <row r="686" ht="19.5" customHeight="1">
      <c r="A686" s="28"/>
    </row>
    <row r="687" ht="19.5" customHeight="1">
      <c r="A687" s="28"/>
    </row>
    <row r="688" ht="19.5" customHeight="1">
      <c r="A688" s="28"/>
    </row>
    <row r="689" ht="19.5" customHeight="1">
      <c r="A689" s="28"/>
    </row>
    <row r="690" ht="19.5" customHeight="1">
      <c r="A690" s="28"/>
    </row>
    <row r="691" ht="19.5" customHeight="1">
      <c r="A691" s="28"/>
    </row>
    <row r="692" ht="19.5" customHeight="1">
      <c r="A692" s="28"/>
    </row>
    <row r="693" ht="19.5" customHeight="1">
      <c r="A693" s="28"/>
    </row>
    <row r="694" ht="19.5" customHeight="1">
      <c r="A694" s="28"/>
    </row>
    <row r="695" ht="19.5" customHeight="1">
      <c r="A695" s="28"/>
    </row>
    <row r="696" ht="19.5" customHeight="1">
      <c r="A696" s="28"/>
    </row>
    <row r="697" ht="19.5" customHeight="1">
      <c r="A697" s="28"/>
    </row>
    <row r="698" ht="19.5" customHeight="1">
      <c r="A698" s="28"/>
    </row>
    <row r="699" ht="19.5" customHeight="1">
      <c r="A699" s="28"/>
    </row>
    <row r="700" ht="19.5" customHeight="1">
      <c r="A700" s="28"/>
    </row>
    <row r="701" ht="19.5" customHeight="1">
      <c r="A701" s="28"/>
    </row>
    <row r="702" ht="19.5" customHeight="1">
      <c r="A702" s="28"/>
    </row>
    <row r="703" ht="19.5" customHeight="1">
      <c r="A703" s="28"/>
    </row>
    <row r="704" ht="19.5" customHeight="1">
      <c r="A704" s="28"/>
    </row>
    <row r="705" ht="19.5" customHeight="1">
      <c r="A705" s="28"/>
    </row>
    <row r="706" ht="19.5" customHeight="1">
      <c r="A706" s="28"/>
    </row>
    <row r="707" ht="19.5" customHeight="1">
      <c r="A707" s="28"/>
    </row>
    <row r="708" ht="19.5" customHeight="1">
      <c r="A708" s="28"/>
    </row>
    <row r="709" ht="19.5" customHeight="1">
      <c r="A709" s="28"/>
    </row>
    <row r="710" ht="19.5" customHeight="1">
      <c r="A710" s="28"/>
    </row>
    <row r="711" ht="19.5" customHeight="1">
      <c r="A711" s="28"/>
    </row>
    <row r="712" ht="19.5" customHeight="1">
      <c r="A712" s="28"/>
    </row>
    <row r="713" ht="19.5" customHeight="1">
      <c r="A713" s="28"/>
    </row>
    <row r="714" ht="19.5" customHeight="1">
      <c r="A714" s="28"/>
    </row>
    <row r="715" ht="19.5" customHeight="1">
      <c r="A715" s="28"/>
    </row>
    <row r="716" ht="19.5" customHeight="1">
      <c r="A716" s="28"/>
    </row>
    <row r="717" ht="19.5" customHeight="1">
      <c r="A717" s="28"/>
    </row>
    <row r="718" ht="19.5" customHeight="1">
      <c r="A718" s="28"/>
    </row>
    <row r="719" ht="19.5" customHeight="1">
      <c r="A719" s="28"/>
    </row>
    <row r="720" ht="19.5" customHeight="1">
      <c r="A720" s="28"/>
    </row>
    <row r="721" ht="19.5" customHeight="1">
      <c r="A721" s="28"/>
    </row>
    <row r="722" ht="19.5" customHeight="1">
      <c r="A722" s="28"/>
    </row>
    <row r="723" ht="19.5" customHeight="1">
      <c r="A723" s="28"/>
    </row>
    <row r="724" ht="19.5" customHeight="1">
      <c r="A724" s="28"/>
    </row>
    <row r="725" ht="19.5" customHeight="1">
      <c r="A725" s="28"/>
    </row>
    <row r="726" ht="19.5" customHeight="1">
      <c r="A726" s="28"/>
    </row>
    <row r="727" ht="19.5" customHeight="1">
      <c r="A727" s="28"/>
    </row>
    <row r="728" ht="19.5" customHeight="1">
      <c r="A728" s="28"/>
    </row>
    <row r="729" ht="19.5" customHeight="1">
      <c r="A729" s="28"/>
    </row>
    <row r="730" ht="19.5" customHeight="1">
      <c r="A730" s="28"/>
    </row>
    <row r="731" ht="19.5" customHeight="1">
      <c r="A731" s="28"/>
    </row>
    <row r="732" ht="19.5" customHeight="1">
      <c r="A732" s="28"/>
    </row>
    <row r="733" ht="19.5" customHeight="1">
      <c r="A733" s="28"/>
    </row>
    <row r="734" ht="19.5" customHeight="1">
      <c r="A734" s="28"/>
    </row>
    <row r="735" ht="19.5" customHeight="1">
      <c r="A735" s="28"/>
    </row>
    <row r="736" ht="19.5" customHeight="1">
      <c r="A736" s="28"/>
    </row>
    <row r="737" ht="19.5" customHeight="1">
      <c r="A737" s="28"/>
    </row>
    <row r="738" ht="19.5" customHeight="1">
      <c r="A738" s="28"/>
    </row>
    <row r="739" ht="19.5" customHeight="1">
      <c r="A739" s="28"/>
    </row>
    <row r="740" ht="19.5" customHeight="1">
      <c r="A740" s="28"/>
    </row>
    <row r="741" ht="19.5" customHeight="1">
      <c r="A741" s="28"/>
    </row>
    <row r="742" ht="19.5" customHeight="1">
      <c r="A742" s="28"/>
    </row>
    <row r="743" ht="19.5" customHeight="1">
      <c r="A743" s="28"/>
    </row>
    <row r="744" ht="19.5" customHeight="1">
      <c r="A744" s="28"/>
    </row>
    <row r="745" ht="19.5" customHeight="1">
      <c r="A745" s="28"/>
    </row>
    <row r="746" ht="19.5" customHeight="1">
      <c r="A746" s="28"/>
    </row>
    <row r="747" ht="19.5" customHeight="1">
      <c r="A747" s="28"/>
    </row>
    <row r="748" ht="19.5" customHeight="1">
      <c r="A748" s="28"/>
    </row>
    <row r="749" ht="19.5" customHeight="1">
      <c r="A749" s="28"/>
    </row>
    <row r="750" ht="19.5" customHeight="1">
      <c r="A750" s="28"/>
    </row>
    <row r="751" ht="19.5" customHeight="1">
      <c r="A751" s="28"/>
    </row>
    <row r="752" ht="19.5" customHeight="1">
      <c r="A752" s="28"/>
    </row>
    <row r="753" ht="19.5" customHeight="1">
      <c r="A753" s="28"/>
    </row>
    <row r="754" ht="19.5" customHeight="1">
      <c r="A754" s="28"/>
    </row>
    <row r="755" ht="19.5" customHeight="1">
      <c r="A755" s="28"/>
    </row>
    <row r="756" ht="19.5" customHeight="1">
      <c r="A756" s="28"/>
    </row>
    <row r="757" ht="19.5" customHeight="1">
      <c r="A757" s="28"/>
    </row>
    <row r="758" ht="19.5" customHeight="1">
      <c r="A758" s="28"/>
    </row>
    <row r="759" ht="19.5" customHeight="1">
      <c r="A759" s="28"/>
    </row>
    <row r="760" ht="19.5" customHeight="1">
      <c r="A760" s="28"/>
    </row>
    <row r="761" ht="19.5" customHeight="1">
      <c r="A761" s="28"/>
    </row>
    <row r="762" ht="19.5" customHeight="1">
      <c r="A762" s="28"/>
    </row>
    <row r="763" ht="19.5" customHeight="1">
      <c r="A763" s="28"/>
    </row>
    <row r="764" ht="19.5" customHeight="1">
      <c r="A764" s="28"/>
    </row>
    <row r="765" ht="19.5" customHeight="1">
      <c r="A765" s="28"/>
    </row>
    <row r="766" ht="19.5" customHeight="1">
      <c r="A766" s="28"/>
    </row>
    <row r="767" ht="19.5" customHeight="1">
      <c r="A767" s="28"/>
    </row>
    <row r="768" ht="19.5" customHeight="1">
      <c r="A768" s="28"/>
    </row>
    <row r="769" ht="19.5" customHeight="1">
      <c r="A769" s="28"/>
    </row>
    <row r="770" ht="19.5" customHeight="1">
      <c r="A770" s="28"/>
    </row>
    <row r="771" ht="19.5" customHeight="1">
      <c r="A771" s="28"/>
    </row>
    <row r="772" ht="19.5" customHeight="1">
      <c r="A772" s="28"/>
    </row>
    <row r="773" ht="19.5" customHeight="1">
      <c r="A773" s="28"/>
    </row>
    <row r="774" ht="19.5" customHeight="1">
      <c r="A774" s="28"/>
    </row>
    <row r="775" ht="19.5" customHeight="1">
      <c r="A775" s="28"/>
    </row>
    <row r="776" ht="19.5" customHeight="1">
      <c r="A776" s="28"/>
    </row>
    <row r="777" ht="19.5" customHeight="1">
      <c r="A777" s="28"/>
    </row>
    <row r="778" ht="19.5" customHeight="1">
      <c r="A778" s="28"/>
    </row>
    <row r="779" ht="19.5" customHeight="1">
      <c r="A779" s="28"/>
    </row>
    <row r="780" ht="19.5" customHeight="1">
      <c r="A780" s="28"/>
    </row>
    <row r="781" ht="19.5" customHeight="1">
      <c r="A781" s="28"/>
    </row>
    <row r="782" ht="19.5" customHeight="1">
      <c r="A782" s="28"/>
    </row>
    <row r="783" ht="19.5" customHeight="1">
      <c r="A783" s="28"/>
    </row>
    <row r="784" ht="19.5" customHeight="1">
      <c r="A784" s="28"/>
    </row>
    <row r="785" ht="19.5" customHeight="1">
      <c r="A785" s="28"/>
    </row>
    <row r="786" ht="19.5" customHeight="1">
      <c r="A786" s="28"/>
    </row>
    <row r="787" ht="19.5" customHeight="1">
      <c r="A787" s="28"/>
    </row>
    <row r="788" ht="19.5" customHeight="1">
      <c r="A788" s="28"/>
    </row>
    <row r="789" ht="19.5" customHeight="1">
      <c r="A789" s="28"/>
    </row>
    <row r="790" ht="19.5" customHeight="1">
      <c r="A790" s="28"/>
    </row>
    <row r="791" ht="19.5" customHeight="1">
      <c r="A791" s="28"/>
    </row>
    <row r="792" ht="19.5" customHeight="1">
      <c r="A792" s="28"/>
    </row>
    <row r="793" ht="19.5" customHeight="1">
      <c r="A793" s="28"/>
    </row>
    <row r="794" ht="19.5" customHeight="1">
      <c r="A794" s="28"/>
    </row>
    <row r="795" ht="19.5" customHeight="1">
      <c r="A795" s="28"/>
    </row>
    <row r="796" ht="19.5" customHeight="1">
      <c r="A796" s="28"/>
    </row>
    <row r="797" ht="19.5" customHeight="1">
      <c r="A797" s="28"/>
    </row>
    <row r="798" ht="19.5" customHeight="1">
      <c r="A798" s="28"/>
    </row>
    <row r="799" ht="19.5" customHeight="1">
      <c r="A799" s="28"/>
    </row>
    <row r="800" ht="19.5" customHeight="1">
      <c r="A800" s="28"/>
    </row>
    <row r="801" ht="19.5" customHeight="1">
      <c r="A801" s="28"/>
    </row>
    <row r="802" ht="19.5" customHeight="1">
      <c r="A802" s="28"/>
    </row>
    <row r="803" ht="19.5" customHeight="1">
      <c r="A803" s="28"/>
    </row>
    <row r="804" ht="19.5" customHeight="1">
      <c r="A804" s="28"/>
    </row>
    <row r="805" ht="19.5" customHeight="1">
      <c r="A805" s="28"/>
    </row>
    <row r="806" ht="19.5" customHeight="1">
      <c r="A806" s="28"/>
    </row>
    <row r="807" ht="19.5" customHeight="1">
      <c r="A807" s="28"/>
    </row>
    <row r="808" ht="19.5" customHeight="1">
      <c r="A808" s="28"/>
    </row>
    <row r="809" ht="19.5" customHeight="1">
      <c r="A809" s="28"/>
    </row>
    <row r="810" ht="19.5" customHeight="1">
      <c r="A810" s="28"/>
    </row>
    <row r="811" ht="19.5" customHeight="1">
      <c r="A811" s="28"/>
    </row>
    <row r="812" ht="19.5" customHeight="1">
      <c r="A812" s="28"/>
    </row>
    <row r="813" ht="19.5" customHeight="1">
      <c r="A813" s="28"/>
    </row>
    <row r="814" ht="19.5" customHeight="1">
      <c r="A814" s="28"/>
    </row>
    <row r="815" ht="19.5" customHeight="1">
      <c r="A815" s="28"/>
    </row>
    <row r="816" ht="19.5" customHeight="1">
      <c r="A816" s="28"/>
    </row>
    <row r="817" ht="19.5" customHeight="1">
      <c r="A817" s="28"/>
    </row>
    <row r="818" ht="19.5" customHeight="1">
      <c r="A818" s="28"/>
    </row>
    <row r="819" ht="19.5" customHeight="1">
      <c r="A819" s="28"/>
    </row>
    <row r="820" ht="19.5" customHeight="1">
      <c r="A820" s="28"/>
    </row>
    <row r="821" ht="19.5" customHeight="1">
      <c r="A821" s="28"/>
    </row>
    <row r="822" ht="19.5" customHeight="1">
      <c r="A822" s="28"/>
    </row>
    <row r="823" ht="19.5" customHeight="1">
      <c r="A823" s="28"/>
    </row>
    <row r="824" ht="19.5" customHeight="1">
      <c r="A824" s="28"/>
    </row>
    <row r="825" ht="19.5" customHeight="1">
      <c r="A825" s="28"/>
    </row>
    <row r="826" ht="19.5" customHeight="1">
      <c r="A826" s="28"/>
    </row>
    <row r="827" ht="19.5" customHeight="1">
      <c r="A827" s="28"/>
    </row>
    <row r="828" ht="19.5" customHeight="1">
      <c r="A828" s="28"/>
    </row>
    <row r="829" ht="19.5" customHeight="1">
      <c r="A829" s="28"/>
    </row>
    <row r="830" ht="19.5" customHeight="1">
      <c r="A830" s="28"/>
    </row>
    <row r="831" ht="19.5" customHeight="1">
      <c r="A831" s="28"/>
    </row>
    <row r="832" ht="19.5" customHeight="1">
      <c r="A832" s="28"/>
    </row>
    <row r="833" ht="19.5" customHeight="1">
      <c r="A833" s="28"/>
    </row>
    <row r="834" ht="19.5" customHeight="1">
      <c r="A834" s="28"/>
    </row>
    <row r="835" ht="19.5" customHeight="1">
      <c r="A835" s="28"/>
    </row>
    <row r="836" ht="19.5" customHeight="1">
      <c r="A836" s="28"/>
    </row>
    <row r="837" ht="19.5" customHeight="1">
      <c r="A837" s="28"/>
    </row>
    <row r="838" ht="19.5" customHeight="1">
      <c r="A838" s="28"/>
    </row>
    <row r="839" ht="19.5" customHeight="1">
      <c r="A839" s="28"/>
    </row>
    <row r="840" ht="19.5" customHeight="1">
      <c r="A840" s="28"/>
    </row>
    <row r="841" ht="19.5" customHeight="1">
      <c r="A841" s="28"/>
    </row>
    <row r="842" ht="19.5" customHeight="1">
      <c r="A842" s="28"/>
    </row>
    <row r="843" ht="19.5" customHeight="1">
      <c r="A843" s="28"/>
    </row>
    <row r="844" ht="19.5" customHeight="1">
      <c r="A844" s="28"/>
    </row>
    <row r="845" ht="19.5" customHeight="1">
      <c r="A845" s="28"/>
    </row>
    <row r="846" ht="19.5" customHeight="1">
      <c r="A846" s="28"/>
    </row>
    <row r="847" ht="19.5" customHeight="1">
      <c r="A847" s="28"/>
    </row>
    <row r="848" ht="19.5" customHeight="1">
      <c r="A848" s="28"/>
    </row>
    <row r="849" ht="19.5" customHeight="1">
      <c r="A849" s="28"/>
    </row>
    <row r="850" ht="19.5" customHeight="1">
      <c r="A850" s="28"/>
    </row>
    <row r="851" ht="19.5" customHeight="1">
      <c r="A851" s="28"/>
    </row>
    <row r="852" ht="19.5" customHeight="1">
      <c r="A852" s="28"/>
    </row>
    <row r="853" ht="19.5" customHeight="1">
      <c r="A853" s="28"/>
    </row>
    <row r="854" ht="19.5" customHeight="1">
      <c r="A854" s="28"/>
    </row>
    <row r="855" ht="19.5" customHeight="1">
      <c r="A855" s="28"/>
    </row>
    <row r="856" ht="19.5" customHeight="1">
      <c r="A856" s="28"/>
    </row>
    <row r="857" ht="19.5" customHeight="1">
      <c r="A857" s="28"/>
    </row>
    <row r="858" ht="19.5" customHeight="1">
      <c r="A858" s="28"/>
    </row>
    <row r="859" ht="19.5" customHeight="1">
      <c r="A859" s="28"/>
    </row>
    <row r="860" ht="19.5" customHeight="1">
      <c r="A860" s="28"/>
    </row>
    <row r="861" ht="19.5" customHeight="1">
      <c r="A861" s="28"/>
    </row>
    <row r="862" ht="19.5" customHeight="1">
      <c r="A862" s="28"/>
    </row>
    <row r="863" ht="19.5" customHeight="1">
      <c r="A863" s="28"/>
    </row>
    <row r="864" ht="19.5" customHeight="1">
      <c r="A864" s="28"/>
    </row>
    <row r="865" ht="19.5" customHeight="1">
      <c r="A865" s="28"/>
    </row>
    <row r="866" ht="19.5" customHeight="1">
      <c r="A866" s="28"/>
    </row>
    <row r="867" ht="19.5" customHeight="1">
      <c r="A867" s="28"/>
    </row>
    <row r="868" ht="19.5" customHeight="1">
      <c r="A868" s="28"/>
    </row>
    <row r="869" ht="19.5" customHeight="1">
      <c r="A869" s="28"/>
    </row>
    <row r="870" ht="19.5" customHeight="1">
      <c r="A870" s="28"/>
    </row>
    <row r="871" ht="19.5" customHeight="1">
      <c r="A871" s="28"/>
    </row>
    <row r="872" ht="19.5" customHeight="1">
      <c r="A872" s="28"/>
    </row>
    <row r="873" ht="19.5" customHeight="1">
      <c r="A873" s="28"/>
    </row>
    <row r="874" ht="19.5" customHeight="1">
      <c r="A874" s="28"/>
    </row>
    <row r="875" ht="19.5" customHeight="1">
      <c r="A875" s="28"/>
    </row>
    <row r="876" ht="19.5" customHeight="1">
      <c r="A876" s="28"/>
    </row>
    <row r="877" ht="19.5" customHeight="1">
      <c r="A877" s="28"/>
    </row>
    <row r="878" ht="19.5" customHeight="1">
      <c r="A878" s="28"/>
    </row>
    <row r="879" ht="19.5" customHeight="1">
      <c r="A879" s="28"/>
    </row>
    <row r="880" ht="19.5" customHeight="1">
      <c r="A880" s="28"/>
    </row>
    <row r="881" ht="19.5" customHeight="1">
      <c r="A881" s="28"/>
    </row>
    <row r="882" ht="19.5" customHeight="1">
      <c r="A882" s="28"/>
    </row>
    <row r="883" ht="19.5" customHeight="1">
      <c r="A883" s="28"/>
    </row>
    <row r="884" ht="19.5" customHeight="1">
      <c r="A884" s="28"/>
    </row>
    <row r="885" ht="19.5" customHeight="1">
      <c r="A885" s="28"/>
    </row>
    <row r="886" ht="19.5" customHeight="1">
      <c r="A886" s="28"/>
    </row>
    <row r="887" ht="19.5" customHeight="1">
      <c r="A887" s="28"/>
    </row>
    <row r="888" ht="19.5" customHeight="1">
      <c r="A888" s="28"/>
    </row>
    <row r="889" ht="19.5" customHeight="1">
      <c r="A889" s="28"/>
    </row>
    <row r="890" ht="19.5" customHeight="1">
      <c r="A890" s="28"/>
    </row>
    <row r="891" ht="19.5" customHeight="1">
      <c r="A891" s="28"/>
    </row>
    <row r="892" ht="19.5" customHeight="1">
      <c r="A892" s="28"/>
    </row>
    <row r="893" ht="19.5" customHeight="1">
      <c r="A893" s="28"/>
    </row>
    <row r="894" ht="19.5" customHeight="1">
      <c r="A894" s="28"/>
    </row>
    <row r="895" ht="19.5" customHeight="1">
      <c r="A895" s="28"/>
    </row>
    <row r="896" ht="19.5" customHeight="1">
      <c r="A896" s="28"/>
    </row>
    <row r="897" ht="19.5" customHeight="1">
      <c r="A897" s="28"/>
    </row>
    <row r="898" ht="19.5" customHeight="1">
      <c r="A898" s="28"/>
    </row>
    <row r="899" ht="19.5" customHeight="1">
      <c r="A899" s="28"/>
    </row>
    <row r="900" ht="19.5" customHeight="1">
      <c r="A900" s="28"/>
    </row>
    <row r="901" ht="19.5" customHeight="1">
      <c r="A901" s="28"/>
    </row>
    <row r="902" ht="19.5" customHeight="1">
      <c r="A902" s="28"/>
    </row>
    <row r="903" ht="19.5" customHeight="1">
      <c r="A903" s="28"/>
    </row>
    <row r="904" ht="19.5" customHeight="1">
      <c r="A904" s="28"/>
    </row>
    <row r="905" ht="19.5" customHeight="1">
      <c r="A905" s="28"/>
    </row>
    <row r="906" ht="19.5" customHeight="1">
      <c r="A906" s="28"/>
    </row>
    <row r="907" ht="19.5" customHeight="1">
      <c r="A907" s="28"/>
    </row>
    <row r="908" ht="19.5" customHeight="1">
      <c r="A908" s="28"/>
    </row>
    <row r="909" ht="19.5" customHeight="1">
      <c r="A909" s="28"/>
    </row>
    <row r="910" ht="19.5" customHeight="1">
      <c r="A910" s="28"/>
    </row>
    <row r="911" ht="19.5" customHeight="1">
      <c r="A911" s="28"/>
    </row>
    <row r="912" ht="19.5" customHeight="1">
      <c r="A912" s="28"/>
    </row>
    <row r="913" ht="19.5" customHeight="1">
      <c r="A913" s="28"/>
    </row>
    <row r="914" ht="19.5" customHeight="1">
      <c r="A914" s="28"/>
    </row>
    <row r="915" ht="19.5" customHeight="1">
      <c r="A915" s="28"/>
    </row>
    <row r="916" ht="19.5" customHeight="1">
      <c r="A916" s="28"/>
    </row>
    <row r="917" ht="19.5" customHeight="1">
      <c r="A917" s="28"/>
    </row>
    <row r="918" ht="19.5" customHeight="1">
      <c r="A918" s="28"/>
    </row>
    <row r="919" ht="19.5" customHeight="1">
      <c r="A919" s="28"/>
    </row>
    <row r="920" ht="19.5" customHeight="1">
      <c r="A920" s="28"/>
    </row>
    <row r="921" ht="19.5" customHeight="1">
      <c r="A921" s="28"/>
    </row>
    <row r="922" ht="19.5" customHeight="1">
      <c r="A922" s="28"/>
    </row>
    <row r="923" ht="19.5" customHeight="1">
      <c r="A923" s="28"/>
    </row>
    <row r="924" ht="19.5" customHeight="1">
      <c r="A924" s="28"/>
    </row>
    <row r="925" ht="19.5" customHeight="1">
      <c r="A925" s="28"/>
    </row>
    <row r="926" ht="19.5" customHeight="1">
      <c r="A926" s="28"/>
    </row>
    <row r="927" ht="19.5" customHeight="1">
      <c r="A927" s="28"/>
    </row>
    <row r="928" ht="19.5" customHeight="1">
      <c r="A928" s="28"/>
    </row>
    <row r="929" ht="19.5" customHeight="1">
      <c r="A929" s="28"/>
    </row>
    <row r="930" ht="19.5" customHeight="1">
      <c r="A930" s="28"/>
    </row>
    <row r="931" ht="19.5" customHeight="1">
      <c r="A931" s="28"/>
    </row>
    <row r="932" ht="19.5" customHeight="1">
      <c r="A932" s="28"/>
    </row>
    <row r="933" ht="19.5" customHeight="1">
      <c r="A933" s="28"/>
    </row>
    <row r="934" ht="19.5" customHeight="1">
      <c r="A934" s="28"/>
    </row>
    <row r="935" ht="19.5" customHeight="1">
      <c r="A935" s="28"/>
    </row>
    <row r="936" ht="19.5" customHeight="1">
      <c r="A936" s="28"/>
    </row>
    <row r="937" ht="19.5" customHeight="1">
      <c r="A937" s="28"/>
    </row>
    <row r="938" ht="19.5" customHeight="1">
      <c r="A938" s="28"/>
    </row>
    <row r="939" ht="19.5" customHeight="1">
      <c r="A939" s="28"/>
    </row>
    <row r="940" ht="19.5" customHeight="1">
      <c r="A940" s="28"/>
    </row>
    <row r="941" ht="19.5" customHeight="1">
      <c r="A941" s="28"/>
    </row>
    <row r="942" ht="19.5" customHeight="1">
      <c r="A942" s="28"/>
    </row>
    <row r="943" ht="19.5" customHeight="1">
      <c r="A943" s="28"/>
    </row>
    <row r="944" ht="19.5" customHeight="1">
      <c r="A944" s="28"/>
    </row>
    <row r="945" ht="19.5" customHeight="1">
      <c r="A945" s="28"/>
    </row>
    <row r="946" ht="19.5" customHeight="1">
      <c r="A946" s="28"/>
    </row>
    <row r="947" ht="19.5" customHeight="1">
      <c r="A947" s="28"/>
    </row>
    <row r="948" ht="19.5" customHeight="1">
      <c r="A948" s="28"/>
    </row>
    <row r="949" ht="19.5" customHeight="1">
      <c r="A949" s="28"/>
    </row>
    <row r="950" ht="19.5" customHeight="1">
      <c r="A950" s="28"/>
    </row>
    <row r="951" ht="19.5" customHeight="1">
      <c r="A951" s="28"/>
    </row>
    <row r="952" ht="19.5" customHeight="1">
      <c r="A952" s="28"/>
    </row>
    <row r="953" ht="19.5" customHeight="1">
      <c r="A953" s="28"/>
    </row>
    <row r="954" ht="19.5" customHeight="1">
      <c r="A954" s="28"/>
    </row>
    <row r="955" ht="19.5" customHeight="1">
      <c r="A955" s="28"/>
    </row>
    <row r="956" ht="19.5" customHeight="1">
      <c r="A956" s="28"/>
    </row>
    <row r="957" ht="19.5" customHeight="1">
      <c r="A957" s="28"/>
    </row>
    <row r="958" ht="19.5" customHeight="1">
      <c r="A958" s="28"/>
    </row>
    <row r="959" ht="19.5" customHeight="1">
      <c r="A959" s="28"/>
    </row>
    <row r="960" ht="19.5" customHeight="1">
      <c r="A960" s="28"/>
    </row>
    <row r="961" ht="19.5" customHeight="1">
      <c r="A961" s="28"/>
    </row>
    <row r="962" ht="19.5" customHeight="1">
      <c r="A962" s="28"/>
    </row>
    <row r="963" ht="19.5" customHeight="1">
      <c r="A963" s="28"/>
    </row>
    <row r="964" ht="19.5" customHeight="1">
      <c r="A964" s="28"/>
    </row>
    <row r="965" ht="19.5" customHeight="1">
      <c r="A965" s="28"/>
    </row>
    <row r="966" ht="19.5" customHeight="1">
      <c r="A966" s="28"/>
    </row>
    <row r="967" ht="19.5" customHeight="1">
      <c r="A967" s="28"/>
    </row>
    <row r="968" ht="19.5" customHeight="1">
      <c r="A968" s="28"/>
    </row>
    <row r="969" ht="19.5" customHeight="1">
      <c r="A969" s="28"/>
    </row>
    <row r="970" ht="19.5" customHeight="1">
      <c r="A970" s="28"/>
    </row>
    <row r="971" ht="19.5" customHeight="1">
      <c r="A971" s="28"/>
    </row>
    <row r="972" ht="19.5" customHeight="1">
      <c r="A972" s="28"/>
    </row>
    <row r="973" ht="19.5" customHeight="1">
      <c r="A973" s="28"/>
    </row>
    <row r="974" ht="19.5" customHeight="1">
      <c r="A974" s="28"/>
    </row>
    <row r="975" ht="19.5" customHeight="1">
      <c r="A975" s="28"/>
    </row>
    <row r="976" ht="19.5" customHeight="1">
      <c r="A976" s="28"/>
    </row>
    <row r="977" ht="19.5" customHeight="1">
      <c r="A977" s="28"/>
    </row>
    <row r="978" ht="19.5" customHeight="1">
      <c r="A978" s="28"/>
    </row>
    <row r="979" ht="19.5" customHeight="1">
      <c r="A979" s="28"/>
    </row>
    <row r="980" ht="19.5" customHeight="1">
      <c r="A980" s="28"/>
    </row>
    <row r="981" ht="19.5" customHeight="1">
      <c r="A981" s="28"/>
    </row>
    <row r="982" ht="19.5" customHeight="1">
      <c r="A982" s="28"/>
    </row>
    <row r="983" ht="19.5" customHeight="1">
      <c r="A983" s="28"/>
    </row>
    <row r="984" ht="19.5" customHeight="1">
      <c r="A984" s="28"/>
    </row>
    <row r="985" ht="19.5" customHeight="1">
      <c r="A985" s="28"/>
    </row>
    <row r="986" ht="19.5" customHeight="1">
      <c r="A986" s="28"/>
    </row>
    <row r="987" ht="19.5" customHeight="1">
      <c r="A987" s="28"/>
    </row>
    <row r="988" ht="19.5" customHeight="1">
      <c r="A988" s="28"/>
    </row>
    <row r="989" ht="19.5" customHeight="1">
      <c r="A989" s="28"/>
    </row>
    <row r="990" ht="19.5" customHeight="1">
      <c r="A990" s="28"/>
    </row>
    <row r="991" ht="19.5" customHeight="1">
      <c r="A991" s="28"/>
    </row>
    <row r="992" ht="19.5" customHeight="1">
      <c r="A992" s="28"/>
    </row>
    <row r="993" ht="19.5" customHeight="1">
      <c r="A993" s="28"/>
    </row>
    <row r="994" ht="19.5" customHeight="1">
      <c r="A994" s="28"/>
    </row>
    <row r="995" ht="19.5" customHeight="1">
      <c r="A995" s="28"/>
    </row>
    <row r="996" ht="19.5" customHeight="1">
      <c r="A996" s="28"/>
    </row>
    <row r="997" ht="19.5" customHeight="1">
      <c r="A997" s="28"/>
    </row>
    <row r="998" ht="19.5" customHeight="1">
      <c r="A998" s="28"/>
    </row>
    <row r="999" ht="19.5" customHeight="1">
      <c r="A999" s="28"/>
    </row>
    <row r="1000" ht="19.5" customHeight="1">
      <c r="A1000" s="28"/>
    </row>
    <row r="1001" ht="19.5" customHeight="1">
      <c r="A1001" s="28"/>
    </row>
    <row r="1002" ht="19.5" customHeight="1">
      <c r="A1002" s="28"/>
    </row>
    <row r="1003" ht="19.5" customHeight="1">
      <c r="A1003" s="28"/>
    </row>
    <row r="1004" ht="19.5" customHeight="1">
      <c r="A1004" s="28"/>
    </row>
    <row r="1005" ht="19.5" customHeight="1">
      <c r="A1005" s="28"/>
    </row>
  </sheetData>
  <mergeCells count="1">
    <mergeCell ref="E1:U1"/>
  </mergeCells>
  <dataValidations>
    <dataValidation type="list" allowBlank="1" showErrorMessage="1" sqref="E4:AI17 J18:X19">
      <formula1>"Present,Off,Half Day,Left"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.63"/>
    <col customWidth="1" min="3" max="3" width="45.13"/>
    <col customWidth="1" min="4" max="4" width="5.13"/>
  </cols>
  <sheetData>
    <row r="1" ht="36.0" customHeight="1">
      <c r="A1" s="102"/>
      <c r="B1" s="103" t="s">
        <v>91</v>
      </c>
      <c r="D1" s="102"/>
    </row>
    <row r="2" ht="36.0" customHeight="1">
      <c r="A2" s="104"/>
      <c r="B2" s="105" t="s">
        <v>92</v>
      </c>
      <c r="C2" s="106"/>
      <c r="D2" s="104"/>
    </row>
    <row r="3" ht="24.0" customHeight="1">
      <c r="A3" s="107"/>
      <c r="B3" s="108" t="s">
        <v>93</v>
      </c>
      <c r="D3" s="107"/>
    </row>
    <row r="4" ht="36.0" customHeight="1">
      <c r="A4" s="109"/>
      <c r="B4" s="110"/>
      <c r="D4" s="109"/>
    </row>
    <row r="5" ht="18.0" customHeight="1">
      <c r="A5" s="111"/>
      <c r="B5" s="112"/>
      <c r="C5" s="111"/>
      <c r="D5" s="111"/>
    </row>
    <row r="6" ht="24.0" customHeight="1">
      <c r="A6" s="111"/>
      <c r="B6" s="113" t="s">
        <v>92</v>
      </c>
      <c r="D6" s="111"/>
    </row>
    <row r="7" ht="19.5" customHeight="1">
      <c r="A7" s="114"/>
      <c r="B7" s="115" t="s">
        <v>13</v>
      </c>
      <c r="C7" s="116" t="s">
        <v>13</v>
      </c>
      <c r="D7" s="114"/>
    </row>
    <row r="8" ht="19.5" customHeight="1">
      <c r="A8" s="114"/>
      <c r="B8" s="117" t="s">
        <v>20</v>
      </c>
      <c r="C8" s="116" t="s">
        <v>94</v>
      </c>
      <c r="D8" s="114"/>
    </row>
    <row r="9" ht="19.5" customHeight="1">
      <c r="A9" s="114"/>
      <c r="B9" s="118" t="s">
        <v>34</v>
      </c>
      <c r="C9" s="116" t="s">
        <v>34</v>
      </c>
      <c r="D9" s="114"/>
    </row>
    <row r="10" ht="19.5" customHeight="1">
      <c r="A10" s="114"/>
      <c r="B10" s="118" t="s">
        <v>38</v>
      </c>
      <c r="C10" s="116" t="s">
        <v>95</v>
      </c>
      <c r="D10" s="114"/>
    </row>
    <row r="11" ht="19.5" customHeight="1">
      <c r="A11" s="114"/>
      <c r="B11" s="119"/>
      <c r="C11" s="114"/>
      <c r="D11" s="114"/>
    </row>
    <row r="12" ht="19.5" customHeight="1">
      <c r="A12" s="114"/>
      <c r="B12" s="119"/>
      <c r="C12" s="114"/>
      <c r="D12" s="114"/>
    </row>
    <row r="13" ht="19.5" customHeight="1">
      <c r="A13" s="114"/>
      <c r="B13" s="119"/>
      <c r="C13" s="114"/>
      <c r="D13" s="114"/>
    </row>
    <row r="14" ht="19.5" customHeight="1">
      <c r="A14" s="114"/>
      <c r="B14" s="119"/>
      <c r="C14" s="114"/>
      <c r="D14" s="114"/>
    </row>
    <row r="15" ht="19.5" hidden="1" customHeight="1">
      <c r="A15" s="114"/>
      <c r="B15" s="120"/>
      <c r="C15" s="114"/>
      <c r="D15" s="114"/>
    </row>
    <row r="16" ht="19.5" customHeight="1">
      <c r="A16" s="114"/>
      <c r="B16" s="120"/>
      <c r="C16" s="114"/>
      <c r="D16" s="114"/>
    </row>
    <row r="17" ht="19.5" customHeight="1">
      <c r="A17" s="114"/>
      <c r="B17" s="120"/>
      <c r="C17" s="114"/>
      <c r="D17" s="114"/>
    </row>
    <row r="18" ht="19.5" customHeight="1">
      <c r="A18" s="114"/>
      <c r="B18" s="120"/>
      <c r="C18" s="114"/>
      <c r="D18" s="114"/>
    </row>
    <row r="19" ht="19.5" customHeight="1">
      <c r="A19" s="114"/>
      <c r="B19" s="120"/>
      <c r="C19" s="114"/>
      <c r="D19" s="114"/>
    </row>
    <row r="20" ht="19.5" customHeight="1">
      <c r="A20" s="114"/>
      <c r="B20" s="120"/>
      <c r="C20" s="114"/>
      <c r="D20" s="114"/>
    </row>
    <row r="21" ht="19.5" customHeight="1">
      <c r="A21" s="114"/>
      <c r="B21" s="120"/>
      <c r="C21" s="114"/>
      <c r="D21" s="114"/>
    </row>
    <row r="22" ht="19.5" customHeight="1">
      <c r="A22" s="114"/>
      <c r="B22" s="120"/>
      <c r="C22" s="114"/>
      <c r="D22" s="114"/>
    </row>
    <row r="23" ht="19.5" customHeight="1">
      <c r="A23" s="114"/>
      <c r="B23" s="120"/>
      <c r="C23" s="114"/>
      <c r="D23" s="114"/>
    </row>
    <row r="24" ht="19.5" customHeight="1">
      <c r="A24" s="114"/>
      <c r="B24" s="120"/>
      <c r="C24" s="114"/>
      <c r="D24" s="114"/>
    </row>
    <row r="25" ht="19.5" customHeight="1">
      <c r="A25" s="114"/>
      <c r="B25" s="120"/>
      <c r="C25" s="114"/>
      <c r="D25" s="114"/>
    </row>
    <row r="26" ht="19.5" customHeight="1">
      <c r="A26" s="114"/>
      <c r="B26" s="120"/>
      <c r="C26" s="114"/>
      <c r="D26" s="114"/>
    </row>
    <row r="27" ht="19.5" customHeight="1">
      <c r="A27" s="114"/>
      <c r="B27" s="120"/>
      <c r="C27" s="114"/>
      <c r="D27" s="114"/>
    </row>
    <row r="28" ht="19.5" customHeight="1">
      <c r="A28" s="114"/>
      <c r="B28" s="120"/>
      <c r="C28" s="114"/>
      <c r="D28" s="114"/>
    </row>
    <row r="29" ht="19.5" customHeight="1">
      <c r="A29" s="114"/>
      <c r="B29" s="120"/>
      <c r="C29" s="114"/>
      <c r="D29" s="114"/>
    </row>
    <row r="30" ht="19.5" customHeight="1">
      <c r="A30" s="114"/>
      <c r="B30" s="120"/>
      <c r="C30" s="114"/>
      <c r="D30" s="114"/>
    </row>
    <row r="31" ht="19.5" customHeight="1">
      <c r="A31" s="114"/>
      <c r="B31" s="120"/>
      <c r="C31" s="114"/>
      <c r="D31" s="114"/>
    </row>
    <row r="32" ht="19.5" customHeight="1">
      <c r="A32" s="114"/>
      <c r="B32" s="120"/>
      <c r="C32" s="114"/>
      <c r="D32" s="114"/>
    </row>
    <row r="33" ht="19.5" customHeight="1">
      <c r="A33" s="114"/>
      <c r="B33" s="120"/>
      <c r="C33" s="114"/>
      <c r="D33" s="114"/>
    </row>
    <row r="34" ht="19.5" customHeight="1">
      <c r="A34" s="114"/>
      <c r="B34" s="120"/>
      <c r="C34" s="114"/>
      <c r="D34" s="114"/>
    </row>
    <row r="35" ht="19.5" customHeight="1">
      <c r="A35" s="114"/>
      <c r="B35" s="120"/>
      <c r="C35" s="114"/>
      <c r="D35" s="114"/>
    </row>
    <row r="36" ht="19.5" customHeight="1">
      <c r="A36" s="114"/>
      <c r="B36" s="120"/>
      <c r="C36" s="114"/>
      <c r="D36" s="114"/>
    </row>
    <row r="37" ht="19.5" customHeight="1">
      <c r="A37" s="114"/>
      <c r="B37" s="120"/>
      <c r="C37" s="114"/>
      <c r="D37" s="114"/>
    </row>
    <row r="38" ht="19.5" customHeight="1">
      <c r="A38" s="114"/>
      <c r="B38" s="120"/>
      <c r="C38" s="114"/>
      <c r="D38" s="114"/>
    </row>
    <row r="39" ht="19.5" customHeight="1">
      <c r="A39" s="114"/>
      <c r="B39" s="120"/>
      <c r="C39" s="114"/>
      <c r="D39" s="114"/>
    </row>
    <row r="40" ht="19.5" customHeight="1">
      <c r="A40" s="114"/>
      <c r="B40" s="120"/>
      <c r="C40" s="114"/>
      <c r="D40" s="114"/>
    </row>
    <row r="41" ht="19.5" customHeight="1">
      <c r="A41" s="114"/>
      <c r="B41" s="120"/>
      <c r="C41" s="114"/>
      <c r="D41" s="114"/>
    </row>
    <row r="42" ht="19.5" customHeight="1">
      <c r="A42" s="114"/>
      <c r="B42" s="120"/>
      <c r="C42" s="114"/>
      <c r="D42" s="114"/>
    </row>
    <row r="43" ht="19.5" customHeight="1">
      <c r="A43" s="114"/>
      <c r="B43" s="120"/>
      <c r="C43" s="114"/>
      <c r="D43" s="114"/>
    </row>
    <row r="44" ht="19.5" customHeight="1">
      <c r="A44" s="114"/>
      <c r="B44" s="120"/>
      <c r="C44" s="114"/>
      <c r="D44" s="114"/>
    </row>
    <row r="45" ht="19.5" customHeight="1">
      <c r="A45" s="114"/>
      <c r="B45" s="120"/>
      <c r="C45" s="114"/>
      <c r="D45" s="114"/>
    </row>
    <row r="46" ht="19.5" customHeight="1">
      <c r="A46" s="114"/>
      <c r="B46" s="120"/>
      <c r="C46" s="114"/>
      <c r="D46" s="114"/>
    </row>
    <row r="47" ht="19.5" customHeight="1">
      <c r="A47" s="114"/>
      <c r="B47" s="120"/>
      <c r="C47" s="114"/>
      <c r="D47" s="114"/>
    </row>
    <row r="48" ht="19.5" customHeight="1">
      <c r="A48" s="114"/>
      <c r="B48" s="120"/>
      <c r="C48" s="114"/>
      <c r="D48" s="114"/>
    </row>
    <row r="49" ht="19.5" customHeight="1">
      <c r="A49" s="114"/>
      <c r="B49" s="120"/>
      <c r="C49" s="114"/>
      <c r="D49" s="114"/>
    </row>
    <row r="50" ht="19.5" customHeight="1">
      <c r="A50" s="114"/>
      <c r="B50" s="120"/>
      <c r="C50" s="114"/>
      <c r="D50" s="114"/>
    </row>
    <row r="51" ht="19.5" customHeight="1">
      <c r="A51" s="114"/>
      <c r="B51" s="120"/>
      <c r="C51" s="114"/>
      <c r="D51" s="114"/>
    </row>
    <row r="52" ht="19.5" customHeight="1">
      <c r="A52" s="114"/>
      <c r="B52" s="120"/>
      <c r="C52" s="114"/>
      <c r="D52" s="114"/>
    </row>
    <row r="53" ht="19.5" customHeight="1">
      <c r="A53" s="114"/>
      <c r="B53" s="120"/>
      <c r="C53" s="114"/>
      <c r="D53" s="114"/>
    </row>
    <row r="54" ht="19.5" customHeight="1">
      <c r="A54" s="114"/>
      <c r="B54" s="120"/>
      <c r="C54" s="114"/>
      <c r="D54" s="114"/>
    </row>
    <row r="55" ht="19.5" customHeight="1">
      <c r="A55" s="114"/>
      <c r="B55" s="120"/>
      <c r="C55" s="114"/>
      <c r="D55" s="114"/>
    </row>
    <row r="56" ht="19.5" customHeight="1">
      <c r="A56" s="114"/>
      <c r="B56" s="120"/>
      <c r="C56" s="114"/>
      <c r="D56" s="114"/>
    </row>
    <row r="57" ht="19.5" customHeight="1">
      <c r="A57" s="114"/>
      <c r="B57" s="120"/>
      <c r="C57" s="114"/>
      <c r="D57" s="114"/>
    </row>
    <row r="58" ht="19.5" customHeight="1">
      <c r="A58" s="114"/>
      <c r="B58" s="120"/>
      <c r="C58" s="114"/>
      <c r="D58" s="114"/>
    </row>
    <row r="59" ht="19.5" customHeight="1">
      <c r="A59" s="114"/>
      <c r="B59" s="120"/>
      <c r="C59" s="114"/>
      <c r="D59" s="114"/>
    </row>
    <row r="60" ht="19.5" customHeight="1">
      <c r="A60" s="114"/>
      <c r="B60" s="120"/>
      <c r="C60" s="114"/>
      <c r="D60" s="114"/>
    </row>
    <row r="61" ht="19.5" customHeight="1">
      <c r="A61" s="114"/>
      <c r="B61" s="120"/>
      <c r="C61" s="114"/>
      <c r="D61" s="114"/>
    </row>
    <row r="62" ht="19.5" customHeight="1">
      <c r="A62" s="114"/>
      <c r="B62" s="120"/>
      <c r="C62" s="114"/>
      <c r="D62" s="114"/>
    </row>
    <row r="63" ht="19.5" customHeight="1">
      <c r="A63" s="114"/>
      <c r="B63" s="120"/>
      <c r="C63" s="114"/>
      <c r="D63" s="114"/>
    </row>
    <row r="64" ht="19.5" customHeight="1">
      <c r="A64" s="114"/>
      <c r="B64" s="120"/>
      <c r="C64" s="114"/>
      <c r="D64" s="114"/>
    </row>
    <row r="65" ht="19.5" customHeight="1">
      <c r="A65" s="114"/>
      <c r="B65" s="120"/>
      <c r="C65" s="114"/>
      <c r="D65" s="114"/>
    </row>
    <row r="66" ht="19.5" customHeight="1">
      <c r="A66" s="114"/>
      <c r="B66" s="120"/>
      <c r="C66" s="114"/>
      <c r="D66" s="114"/>
    </row>
    <row r="67" ht="19.5" customHeight="1">
      <c r="A67" s="114"/>
      <c r="B67" s="120"/>
      <c r="C67" s="114"/>
      <c r="D67" s="114"/>
    </row>
    <row r="68" ht="19.5" customHeight="1">
      <c r="A68" s="114"/>
      <c r="B68" s="120"/>
      <c r="C68" s="114"/>
      <c r="D68" s="114"/>
    </row>
    <row r="69" ht="19.5" customHeight="1">
      <c r="A69" s="114"/>
      <c r="B69" s="120"/>
      <c r="C69" s="114"/>
      <c r="D69" s="114"/>
    </row>
    <row r="70" ht="19.5" customHeight="1">
      <c r="A70" s="114"/>
      <c r="B70" s="120"/>
      <c r="C70" s="114"/>
      <c r="D70" s="114"/>
    </row>
    <row r="71" ht="19.5" customHeight="1">
      <c r="A71" s="114"/>
      <c r="B71" s="120"/>
      <c r="C71" s="114"/>
      <c r="D71" s="114"/>
    </row>
    <row r="72" ht="19.5" customHeight="1">
      <c r="A72" s="114"/>
      <c r="B72" s="120"/>
      <c r="C72" s="114"/>
      <c r="D72" s="114"/>
    </row>
    <row r="73" ht="19.5" customHeight="1">
      <c r="A73" s="114"/>
      <c r="B73" s="120"/>
      <c r="C73" s="114"/>
      <c r="D73" s="114"/>
    </row>
    <row r="74" ht="19.5" customHeight="1">
      <c r="A74" s="114"/>
      <c r="B74" s="120"/>
      <c r="C74" s="114"/>
      <c r="D74" s="114"/>
    </row>
    <row r="75" ht="19.5" customHeight="1">
      <c r="A75" s="114"/>
      <c r="B75" s="120"/>
      <c r="C75" s="114"/>
      <c r="D75" s="114"/>
    </row>
    <row r="76" ht="19.5" customHeight="1">
      <c r="A76" s="114"/>
      <c r="B76" s="120"/>
      <c r="C76" s="114"/>
      <c r="D76" s="114"/>
    </row>
    <row r="77" ht="19.5" customHeight="1">
      <c r="A77" s="114"/>
      <c r="B77" s="120"/>
      <c r="C77" s="114"/>
      <c r="D77" s="114"/>
    </row>
    <row r="78" ht="19.5" customHeight="1">
      <c r="A78" s="114"/>
      <c r="B78" s="120"/>
      <c r="C78" s="114"/>
      <c r="D78" s="114"/>
    </row>
    <row r="79" ht="19.5" customHeight="1">
      <c r="A79" s="114"/>
      <c r="B79" s="120"/>
      <c r="C79" s="114"/>
      <c r="D79" s="114"/>
    </row>
    <row r="80" ht="19.5" customHeight="1">
      <c r="A80" s="114"/>
      <c r="B80" s="120"/>
      <c r="C80" s="114"/>
      <c r="D80" s="114"/>
    </row>
    <row r="81" ht="19.5" customHeight="1">
      <c r="A81" s="114"/>
      <c r="B81" s="120"/>
      <c r="C81" s="114"/>
      <c r="D81" s="114"/>
    </row>
    <row r="82" ht="19.5" customHeight="1">
      <c r="A82" s="114"/>
      <c r="B82" s="120"/>
      <c r="C82" s="114"/>
      <c r="D82" s="114"/>
    </row>
    <row r="83" ht="19.5" customHeight="1">
      <c r="A83" s="114"/>
      <c r="B83" s="120"/>
      <c r="C83" s="114"/>
      <c r="D83" s="114"/>
    </row>
    <row r="84" ht="19.5" customHeight="1">
      <c r="A84" s="114"/>
      <c r="B84" s="120"/>
      <c r="C84" s="114"/>
      <c r="D84" s="114"/>
    </row>
    <row r="85" ht="19.5" customHeight="1">
      <c r="A85" s="114"/>
      <c r="B85" s="120"/>
      <c r="C85" s="114"/>
      <c r="D85" s="114"/>
    </row>
    <row r="86" ht="19.5" customHeight="1">
      <c r="A86" s="114"/>
      <c r="B86" s="120"/>
      <c r="C86" s="114"/>
      <c r="D86" s="114"/>
    </row>
    <row r="87" ht="19.5" customHeight="1">
      <c r="A87" s="114"/>
      <c r="B87" s="120"/>
      <c r="C87" s="114"/>
      <c r="D87" s="114"/>
    </row>
    <row r="88" ht="19.5" customHeight="1">
      <c r="A88" s="114"/>
      <c r="B88" s="120"/>
      <c r="C88" s="114"/>
      <c r="D88" s="114"/>
    </row>
    <row r="89" ht="19.5" customHeight="1">
      <c r="A89" s="114"/>
      <c r="B89" s="120"/>
      <c r="C89" s="114"/>
      <c r="D89" s="114"/>
    </row>
    <row r="90" ht="19.5" customHeight="1">
      <c r="A90" s="114"/>
      <c r="B90" s="120"/>
      <c r="C90" s="114"/>
      <c r="D90" s="114"/>
    </row>
    <row r="91" ht="19.5" customHeight="1">
      <c r="A91" s="114"/>
      <c r="B91" s="120"/>
      <c r="C91" s="114"/>
      <c r="D91" s="114"/>
    </row>
    <row r="92" ht="19.5" customHeight="1">
      <c r="A92" s="114"/>
      <c r="B92" s="120"/>
      <c r="C92" s="114"/>
      <c r="D92" s="114"/>
    </row>
    <row r="93" ht="19.5" customHeight="1">
      <c r="A93" s="114"/>
      <c r="B93" s="120"/>
      <c r="C93" s="114"/>
      <c r="D93" s="114"/>
    </row>
    <row r="94" ht="19.5" customHeight="1">
      <c r="A94" s="114"/>
      <c r="B94" s="120"/>
      <c r="C94" s="114"/>
      <c r="D94" s="114"/>
    </row>
    <row r="95" ht="19.5" customHeight="1">
      <c r="A95" s="114"/>
      <c r="B95" s="120"/>
      <c r="C95" s="114"/>
      <c r="D95" s="114"/>
    </row>
    <row r="96" ht="19.5" customHeight="1">
      <c r="A96" s="114"/>
      <c r="B96" s="120"/>
      <c r="C96" s="114"/>
      <c r="D96" s="114"/>
    </row>
    <row r="97" ht="19.5" customHeight="1">
      <c r="A97" s="114"/>
      <c r="B97" s="120"/>
      <c r="C97" s="114"/>
      <c r="D97" s="114"/>
    </row>
    <row r="98" ht="19.5" customHeight="1">
      <c r="A98" s="114"/>
      <c r="B98" s="120"/>
      <c r="C98" s="114"/>
      <c r="D98" s="114"/>
    </row>
    <row r="99" ht="19.5" customHeight="1">
      <c r="A99" s="114"/>
      <c r="B99" s="120"/>
      <c r="C99" s="114"/>
      <c r="D99" s="114"/>
    </row>
    <row r="100" ht="19.5" customHeight="1">
      <c r="A100" s="114"/>
      <c r="B100" s="120"/>
      <c r="C100" s="114"/>
      <c r="D100" s="114"/>
    </row>
    <row r="101" ht="19.5" customHeight="1">
      <c r="A101" s="114"/>
      <c r="B101" s="120"/>
      <c r="C101" s="114"/>
      <c r="D101" s="114"/>
    </row>
    <row r="102" ht="19.5" customHeight="1">
      <c r="A102" s="114"/>
      <c r="B102" s="120"/>
      <c r="C102" s="114"/>
      <c r="D102" s="114"/>
    </row>
    <row r="103" ht="19.5" customHeight="1">
      <c r="A103" s="114"/>
      <c r="B103" s="120"/>
      <c r="C103" s="114"/>
      <c r="D103" s="114"/>
    </row>
    <row r="104" ht="19.5" customHeight="1">
      <c r="A104" s="114"/>
      <c r="B104" s="120"/>
      <c r="C104" s="114"/>
      <c r="D104" s="114"/>
    </row>
    <row r="105" ht="19.5" customHeight="1">
      <c r="A105" s="114"/>
      <c r="B105" s="120"/>
      <c r="C105" s="114"/>
      <c r="D105" s="114"/>
    </row>
    <row r="106" ht="19.5" customHeight="1">
      <c r="A106" s="114"/>
      <c r="B106" s="120"/>
      <c r="C106" s="114"/>
      <c r="D106" s="114"/>
    </row>
    <row r="107" ht="19.5" customHeight="1">
      <c r="A107" s="114"/>
      <c r="B107" s="120"/>
      <c r="C107" s="114"/>
      <c r="D107" s="114"/>
    </row>
    <row r="108" ht="19.5" customHeight="1">
      <c r="A108" s="114"/>
      <c r="B108" s="120"/>
      <c r="C108" s="114"/>
      <c r="D108" s="114"/>
    </row>
    <row r="109" ht="19.5" customHeight="1">
      <c r="A109" s="114"/>
      <c r="B109" s="120"/>
      <c r="C109" s="114"/>
      <c r="D109" s="114"/>
    </row>
    <row r="110" ht="19.5" customHeight="1">
      <c r="A110" s="114"/>
      <c r="B110" s="120"/>
      <c r="C110" s="114"/>
      <c r="D110" s="114"/>
    </row>
    <row r="111" ht="19.5" customHeight="1">
      <c r="A111" s="114"/>
      <c r="B111" s="120"/>
      <c r="C111" s="114"/>
      <c r="D111" s="114"/>
    </row>
    <row r="112" ht="19.5" customHeight="1">
      <c r="A112" s="114"/>
      <c r="B112" s="120"/>
      <c r="C112" s="114"/>
      <c r="D112" s="114"/>
    </row>
    <row r="113" ht="19.5" customHeight="1">
      <c r="A113" s="114"/>
      <c r="B113" s="120"/>
      <c r="C113" s="114"/>
      <c r="D113" s="114"/>
    </row>
    <row r="114" ht="19.5" customHeight="1">
      <c r="A114" s="114"/>
      <c r="B114" s="120"/>
      <c r="C114" s="114"/>
      <c r="D114" s="114"/>
    </row>
    <row r="115" ht="19.5" customHeight="1">
      <c r="A115" s="114"/>
      <c r="B115" s="120"/>
      <c r="C115" s="114"/>
      <c r="D115" s="114"/>
    </row>
    <row r="116" ht="19.5" customHeight="1">
      <c r="A116" s="114"/>
      <c r="B116" s="120"/>
      <c r="C116" s="114"/>
      <c r="D116" s="114"/>
    </row>
    <row r="117" ht="19.5" customHeight="1">
      <c r="A117" s="114"/>
      <c r="B117" s="120"/>
      <c r="C117" s="114"/>
      <c r="D117" s="114"/>
    </row>
    <row r="118" ht="19.5" customHeight="1">
      <c r="A118" s="114"/>
      <c r="B118" s="120"/>
      <c r="C118" s="114"/>
      <c r="D118" s="114"/>
    </row>
    <row r="119" ht="19.5" customHeight="1">
      <c r="A119" s="114"/>
      <c r="B119" s="120"/>
      <c r="C119" s="114"/>
      <c r="D119" s="114"/>
    </row>
    <row r="120" ht="19.5" customHeight="1">
      <c r="A120" s="114"/>
      <c r="B120" s="120"/>
      <c r="C120" s="114"/>
      <c r="D120" s="114"/>
    </row>
    <row r="121" ht="19.5" customHeight="1">
      <c r="A121" s="114"/>
      <c r="B121" s="120"/>
      <c r="C121" s="114"/>
      <c r="D121" s="114"/>
    </row>
    <row r="122" ht="19.5" customHeight="1">
      <c r="A122" s="114"/>
      <c r="B122" s="120"/>
      <c r="C122" s="114"/>
      <c r="D122" s="114"/>
    </row>
    <row r="123" ht="19.5" customHeight="1">
      <c r="A123" s="114"/>
      <c r="B123" s="120"/>
      <c r="C123" s="114"/>
      <c r="D123" s="114"/>
    </row>
    <row r="124" ht="19.5" customHeight="1">
      <c r="A124" s="114"/>
      <c r="B124" s="120"/>
      <c r="C124" s="114"/>
      <c r="D124" s="114"/>
    </row>
    <row r="125" ht="19.5" customHeight="1">
      <c r="A125" s="114"/>
      <c r="B125" s="120"/>
      <c r="C125" s="114"/>
      <c r="D125" s="114"/>
    </row>
    <row r="126" ht="19.5" customHeight="1">
      <c r="A126" s="114"/>
      <c r="B126" s="120"/>
      <c r="C126" s="114"/>
      <c r="D126" s="114"/>
    </row>
    <row r="127" ht="19.5" customHeight="1">
      <c r="A127" s="114"/>
      <c r="B127" s="120"/>
      <c r="C127" s="114"/>
      <c r="D127" s="114"/>
    </row>
    <row r="128" ht="19.5" customHeight="1">
      <c r="A128" s="114"/>
      <c r="B128" s="120"/>
      <c r="C128" s="114"/>
      <c r="D128" s="114"/>
    </row>
    <row r="129" ht="19.5" customHeight="1">
      <c r="A129" s="114"/>
      <c r="B129" s="120"/>
      <c r="C129" s="114"/>
      <c r="D129" s="114"/>
    </row>
    <row r="130" ht="19.5" customHeight="1">
      <c r="A130" s="114"/>
      <c r="B130" s="120"/>
      <c r="C130" s="114"/>
      <c r="D130" s="114"/>
    </row>
    <row r="131" ht="19.5" customHeight="1">
      <c r="A131" s="114"/>
      <c r="B131" s="120"/>
      <c r="C131" s="114"/>
      <c r="D131" s="114"/>
    </row>
    <row r="132" ht="19.5" customHeight="1">
      <c r="A132" s="114"/>
      <c r="B132" s="120"/>
      <c r="C132" s="114"/>
      <c r="D132" s="114"/>
    </row>
    <row r="133" ht="19.5" customHeight="1">
      <c r="A133" s="114"/>
      <c r="B133" s="120"/>
      <c r="C133" s="114"/>
      <c r="D133" s="114"/>
    </row>
    <row r="134" ht="19.5" customHeight="1">
      <c r="A134" s="114"/>
      <c r="B134" s="120"/>
      <c r="C134" s="114"/>
      <c r="D134" s="114"/>
    </row>
    <row r="135" ht="19.5" customHeight="1">
      <c r="A135" s="114"/>
      <c r="B135" s="120"/>
      <c r="C135" s="114"/>
      <c r="D135" s="114"/>
    </row>
    <row r="136" ht="19.5" customHeight="1">
      <c r="A136" s="114"/>
      <c r="B136" s="120"/>
      <c r="C136" s="114"/>
      <c r="D136" s="114"/>
    </row>
    <row r="137" ht="19.5" customHeight="1">
      <c r="A137" s="114"/>
      <c r="B137" s="120"/>
      <c r="C137" s="114"/>
      <c r="D137" s="114"/>
    </row>
    <row r="138" ht="19.5" customHeight="1">
      <c r="A138" s="114"/>
      <c r="B138" s="120"/>
      <c r="C138" s="114"/>
      <c r="D138" s="114"/>
    </row>
    <row r="139" ht="19.5" customHeight="1">
      <c r="A139" s="114"/>
      <c r="B139" s="120"/>
      <c r="C139" s="114"/>
      <c r="D139" s="114"/>
    </row>
    <row r="140" ht="19.5" customHeight="1">
      <c r="A140" s="114"/>
      <c r="B140" s="120"/>
      <c r="C140" s="114"/>
      <c r="D140" s="114"/>
    </row>
    <row r="141" ht="19.5" customHeight="1">
      <c r="A141" s="114"/>
      <c r="B141" s="120"/>
      <c r="C141" s="114"/>
      <c r="D141" s="114"/>
    </row>
    <row r="142" ht="19.5" customHeight="1">
      <c r="A142" s="114"/>
      <c r="B142" s="120"/>
      <c r="C142" s="114"/>
      <c r="D142" s="114"/>
    </row>
    <row r="143" ht="19.5" customHeight="1">
      <c r="A143" s="114"/>
      <c r="B143" s="120"/>
      <c r="C143" s="114"/>
      <c r="D143" s="114"/>
    </row>
    <row r="144" ht="19.5" customHeight="1">
      <c r="A144" s="114"/>
      <c r="B144" s="120"/>
      <c r="C144" s="114"/>
      <c r="D144" s="114"/>
    </row>
    <row r="145" ht="19.5" customHeight="1">
      <c r="A145" s="114"/>
      <c r="B145" s="120"/>
      <c r="C145" s="114"/>
      <c r="D145" s="114"/>
    </row>
    <row r="146" ht="19.5" customHeight="1">
      <c r="A146" s="114"/>
      <c r="B146" s="120"/>
      <c r="C146" s="114"/>
      <c r="D146" s="114"/>
    </row>
    <row r="147" ht="19.5" customHeight="1">
      <c r="A147" s="114"/>
      <c r="B147" s="120"/>
      <c r="C147" s="114"/>
      <c r="D147" s="114"/>
    </row>
    <row r="148" ht="19.5" customHeight="1">
      <c r="A148" s="114"/>
      <c r="B148" s="120"/>
      <c r="C148" s="114"/>
      <c r="D148" s="114"/>
    </row>
    <row r="149" ht="19.5" customHeight="1">
      <c r="A149" s="114"/>
      <c r="B149" s="120"/>
      <c r="C149" s="114"/>
      <c r="D149" s="114"/>
    </row>
    <row r="150" ht="19.5" customHeight="1">
      <c r="A150" s="114"/>
      <c r="B150" s="120"/>
      <c r="C150" s="114"/>
      <c r="D150" s="114"/>
    </row>
    <row r="151" ht="19.5" customHeight="1">
      <c r="A151" s="114"/>
      <c r="B151" s="120"/>
      <c r="C151" s="114"/>
      <c r="D151" s="114"/>
    </row>
    <row r="152" ht="19.5" customHeight="1">
      <c r="A152" s="114"/>
      <c r="B152" s="120"/>
      <c r="C152" s="114"/>
      <c r="D152" s="114"/>
    </row>
    <row r="153" ht="19.5" customHeight="1">
      <c r="A153" s="114"/>
      <c r="B153" s="120"/>
      <c r="C153" s="114"/>
      <c r="D153" s="114"/>
    </row>
    <row r="154" ht="19.5" customHeight="1">
      <c r="A154" s="114"/>
      <c r="B154" s="120"/>
      <c r="C154" s="114"/>
      <c r="D154" s="114"/>
    </row>
    <row r="155" ht="19.5" customHeight="1">
      <c r="A155" s="114"/>
      <c r="B155" s="120"/>
      <c r="C155" s="114"/>
      <c r="D155" s="114"/>
    </row>
    <row r="156" ht="19.5" customHeight="1">
      <c r="A156" s="114"/>
      <c r="B156" s="120"/>
      <c r="C156" s="114"/>
      <c r="D156" s="114"/>
    </row>
    <row r="157" ht="19.5" customHeight="1">
      <c r="A157" s="114"/>
      <c r="B157" s="120"/>
      <c r="C157" s="114"/>
      <c r="D157" s="114"/>
    </row>
    <row r="158" ht="19.5" customHeight="1">
      <c r="A158" s="114"/>
      <c r="B158" s="120"/>
      <c r="C158" s="114"/>
      <c r="D158" s="114"/>
    </row>
    <row r="159" ht="19.5" customHeight="1">
      <c r="A159" s="114"/>
      <c r="B159" s="120"/>
      <c r="C159" s="114"/>
      <c r="D159" s="114"/>
    </row>
    <row r="160" ht="19.5" customHeight="1">
      <c r="A160" s="114"/>
      <c r="B160" s="120"/>
      <c r="C160" s="114"/>
      <c r="D160" s="114"/>
    </row>
    <row r="161" ht="19.5" customHeight="1">
      <c r="A161" s="114"/>
      <c r="B161" s="120"/>
      <c r="C161" s="114"/>
      <c r="D161" s="114"/>
    </row>
    <row r="162" ht="19.5" customHeight="1">
      <c r="A162" s="114"/>
      <c r="B162" s="120"/>
      <c r="C162" s="114"/>
      <c r="D162" s="114"/>
    </row>
    <row r="163" ht="19.5" customHeight="1">
      <c r="A163" s="114"/>
      <c r="B163" s="120"/>
      <c r="C163" s="114"/>
      <c r="D163" s="114"/>
    </row>
    <row r="164" ht="19.5" customHeight="1">
      <c r="A164" s="114"/>
      <c r="B164" s="120"/>
      <c r="C164" s="114"/>
      <c r="D164" s="114"/>
    </row>
    <row r="165" ht="19.5" customHeight="1">
      <c r="A165" s="114"/>
      <c r="B165" s="120"/>
      <c r="C165" s="114"/>
      <c r="D165" s="114"/>
    </row>
    <row r="166" ht="19.5" customHeight="1">
      <c r="A166" s="114"/>
      <c r="B166" s="120"/>
      <c r="C166" s="114"/>
      <c r="D166" s="114"/>
    </row>
    <row r="167" ht="19.5" customHeight="1">
      <c r="A167" s="114"/>
      <c r="B167" s="120"/>
      <c r="C167" s="114"/>
      <c r="D167" s="114"/>
    </row>
    <row r="168" ht="19.5" customHeight="1">
      <c r="A168" s="114"/>
      <c r="B168" s="120"/>
      <c r="C168" s="114"/>
      <c r="D168" s="114"/>
    </row>
    <row r="169" ht="19.5" customHeight="1">
      <c r="A169" s="114"/>
      <c r="B169" s="120"/>
      <c r="C169" s="114"/>
      <c r="D169" s="114"/>
    </row>
    <row r="170" ht="19.5" customHeight="1">
      <c r="A170" s="114"/>
      <c r="B170" s="120"/>
      <c r="C170" s="114"/>
      <c r="D170" s="114"/>
    </row>
    <row r="171" ht="19.5" customHeight="1">
      <c r="A171" s="114"/>
      <c r="B171" s="120"/>
      <c r="C171" s="114"/>
      <c r="D171" s="114"/>
    </row>
    <row r="172" ht="19.5" customHeight="1">
      <c r="A172" s="114"/>
      <c r="B172" s="120"/>
      <c r="C172" s="114"/>
      <c r="D172" s="114"/>
    </row>
    <row r="173" ht="19.5" customHeight="1">
      <c r="A173" s="114"/>
      <c r="B173" s="120"/>
      <c r="C173" s="114"/>
      <c r="D173" s="114"/>
    </row>
    <row r="174" ht="19.5" customHeight="1">
      <c r="A174" s="114"/>
      <c r="B174" s="120"/>
      <c r="C174" s="114"/>
      <c r="D174" s="114"/>
    </row>
    <row r="175" ht="19.5" customHeight="1">
      <c r="A175" s="114"/>
      <c r="B175" s="120"/>
      <c r="C175" s="114"/>
      <c r="D175" s="114"/>
    </row>
    <row r="176" ht="19.5" customHeight="1">
      <c r="A176" s="114"/>
      <c r="B176" s="120"/>
      <c r="C176" s="114"/>
      <c r="D176" s="114"/>
    </row>
    <row r="177" ht="19.5" customHeight="1">
      <c r="A177" s="114"/>
      <c r="B177" s="120"/>
      <c r="C177" s="114"/>
      <c r="D177" s="114"/>
    </row>
    <row r="178" ht="19.5" customHeight="1">
      <c r="A178" s="114"/>
      <c r="B178" s="120"/>
      <c r="C178" s="114"/>
      <c r="D178" s="114"/>
    </row>
    <row r="179" ht="19.5" customHeight="1">
      <c r="A179" s="114"/>
      <c r="B179" s="120"/>
      <c r="C179" s="114"/>
      <c r="D179" s="114"/>
    </row>
    <row r="180" ht="19.5" customHeight="1">
      <c r="A180" s="114"/>
      <c r="B180" s="120"/>
      <c r="C180" s="114"/>
      <c r="D180" s="114"/>
    </row>
    <row r="181" ht="19.5" customHeight="1">
      <c r="A181" s="114"/>
      <c r="B181" s="120"/>
      <c r="C181" s="114"/>
      <c r="D181" s="114"/>
    </row>
    <row r="182" ht="19.5" customHeight="1">
      <c r="A182" s="114"/>
      <c r="B182" s="120"/>
      <c r="C182" s="114"/>
      <c r="D182" s="114"/>
    </row>
    <row r="183" ht="19.5" customHeight="1">
      <c r="A183" s="114"/>
      <c r="B183" s="120"/>
      <c r="C183" s="114"/>
      <c r="D183" s="114"/>
    </row>
    <row r="184" ht="19.5" customHeight="1">
      <c r="A184" s="114"/>
      <c r="B184" s="120"/>
      <c r="C184" s="114"/>
      <c r="D184" s="114"/>
    </row>
    <row r="185" ht="19.5" customHeight="1">
      <c r="A185" s="114"/>
      <c r="B185" s="120"/>
      <c r="C185" s="114"/>
      <c r="D185" s="114"/>
    </row>
    <row r="186" ht="19.5" customHeight="1">
      <c r="A186" s="114"/>
      <c r="B186" s="120"/>
      <c r="C186" s="114"/>
      <c r="D186" s="114"/>
    </row>
    <row r="187" ht="19.5" customHeight="1">
      <c r="A187" s="114"/>
      <c r="B187" s="120"/>
      <c r="C187" s="114"/>
      <c r="D187" s="114"/>
    </row>
    <row r="188" ht="19.5" customHeight="1">
      <c r="A188" s="114"/>
      <c r="B188" s="120"/>
      <c r="C188" s="114"/>
      <c r="D188" s="114"/>
    </row>
    <row r="189" ht="19.5" customHeight="1">
      <c r="A189" s="114"/>
      <c r="B189" s="120"/>
      <c r="C189" s="114"/>
      <c r="D189" s="114"/>
    </row>
    <row r="190" ht="19.5" customHeight="1">
      <c r="A190" s="114"/>
      <c r="B190" s="120"/>
      <c r="C190" s="114"/>
      <c r="D190" s="114"/>
    </row>
    <row r="191" ht="19.5" customHeight="1">
      <c r="A191" s="114"/>
      <c r="B191" s="120"/>
      <c r="C191" s="114"/>
      <c r="D191" s="114"/>
    </row>
    <row r="192" ht="19.5" customHeight="1">
      <c r="A192" s="114"/>
      <c r="B192" s="120"/>
      <c r="C192" s="114"/>
      <c r="D192" s="114"/>
    </row>
    <row r="193" ht="19.5" customHeight="1">
      <c r="A193" s="114"/>
      <c r="B193" s="120"/>
      <c r="C193" s="114"/>
      <c r="D193" s="114"/>
    </row>
    <row r="194" ht="19.5" customHeight="1">
      <c r="A194" s="114"/>
      <c r="B194" s="120"/>
      <c r="C194" s="114"/>
      <c r="D194" s="114"/>
    </row>
    <row r="195" ht="19.5" customHeight="1">
      <c r="A195" s="114"/>
      <c r="B195" s="120"/>
      <c r="C195" s="114"/>
      <c r="D195" s="114"/>
    </row>
    <row r="196" ht="19.5" customHeight="1">
      <c r="A196" s="114"/>
      <c r="B196" s="120"/>
      <c r="C196" s="114"/>
      <c r="D196" s="114"/>
    </row>
    <row r="197" ht="19.5" customHeight="1">
      <c r="A197" s="114"/>
      <c r="B197" s="120"/>
      <c r="C197" s="114"/>
      <c r="D197" s="114"/>
    </row>
    <row r="198" ht="19.5" customHeight="1">
      <c r="A198" s="114"/>
      <c r="B198" s="120"/>
      <c r="C198" s="114"/>
      <c r="D198" s="114"/>
    </row>
    <row r="199" ht="19.5" customHeight="1">
      <c r="A199" s="114"/>
      <c r="B199" s="120"/>
      <c r="C199" s="114"/>
      <c r="D199" s="114"/>
    </row>
    <row r="200" ht="19.5" customHeight="1">
      <c r="A200" s="114"/>
      <c r="B200" s="120"/>
      <c r="C200" s="114"/>
      <c r="D200" s="114"/>
    </row>
    <row r="201" ht="19.5" customHeight="1">
      <c r="A201" s="114"/>
      <c r="B201" s="120"/>
      <c r="C201" s="114"/>
      <c r="D201" s="114"/>
    </row>
    <row r="202" ht="19.5" customHeight="1">
      <c r="A202" s="114"/>
      <c r="B202" s="120"/>
      <c r="C202" s="114"/>
      <c r="D202" s="114"/>
    </row>
    <row r="203" ht="19.5" customHeight="1">
      <c r="A203" s="114"/>
      <c r="B203" s="120"/>
      <c r="C203" s="114"/>
      <c r="D203" s="114"/>
    </row>
    <row r="204" ht="19.5" customHeight="1">
      <c r="A204" s="114"/>
      <c r="B204" s="120"/>
      <c r="C204" s="114"/>
      <c r="D204" s="114"/>
    </row>
    <row r="205" ht="19.5" customHeight="1">
      <c r="A205" s="114"/>
      <c r="B205" s="120"/>
      <c r="C205" s="114"/>
      <c r="D205" s="114"/>
    </row>
    <row r="206" ht="19.5" customHeight="1">
      <c r="A206" s="114"/>
      <c r="B206" s="120"/>
      <c r="C206" s="114"/>
      <c r="D206" s="114"/>
    </row>
    <row r="207" ht="19.5" customHeight="1">
      <c r="A207" s="114"/>
      <c r="B207" s="120"/>
      <c r="C207" s="114"/>
      <c r="D207" s="114"/>
    </row>
    <row r="208" ht="19.5" customHeight="1">
      <c r="A208" s="114"/>
      <c r="B208" s="120"/>
      <c r="C208" s="114"/>
      <c r="D208" s="114"/>
    </row>
    <row r="209" ht="19.5" customHeight="1">
      <c r="A209" s="114"/>
      <c r="B209" s="120"/>
      <c r="C209" s="114"/>
      <c r="D209" s="114"/>
    </row>
    <row r="210" ht="19.5" customHeight="1">
      <c r="A210" s="114"/>
      <c r="B210" s="120"/>
      <c r="C210" s="114"/>
      <c r="D210" s="114"/>
    </row>
    <row r="211" ht="19.5" customHeight="1">
      <c r="A211" s="114"/>
      <c r="B211" s="120"/>
      <c r="C211" s="114"/>
      <c r="D211" s="114"/>
    </row>
    <row r="212" ht="19.5" customHeight="1">
      <c r="A212" s="114"/>
      <c r="B212" s="120"/>
      <c r="C212" s="114"/>
      <c r="D212" s="114"/>
    </row>
    <row r="213" ht="19.5" customHeight="1">
      <c r="A213" s="114"/>
      <c r="B213" s="120"/>
      <c r="C213" s="114"/>
      <c r="D213" s="114"/>
    </row>
    <row r="214" ht="19.5" customHeight="1">
      <c r="A214" s="114"/>
      <c r="B214" s="120"/>
      <c r="C214" s="114"/>
      <c r="D214" s="114"/>
    </row>
    <row r="215" ht="19.5" customHeight="1">
      <c r="A215" s="114"/>
      <c r="B215" s="120"/>
      <c r="C215" s="114"/>
      <c r="D215" s="114"/>
    </row>
    <row r="216" ht="19.5" customHeight="1">
      <c r="A216" s="114"/>
      <c r="B216" s="120"/>
      <c r="C216" s="114"/>
      <c r="D216" s="114"/>
    </row>
    <row r="217" ht="19.5" customHeight="1">
      <c r="A217" s="114"/>
      <c r="B217" s="120"/>
      <c r="C217" s="114"/>
      <c r="D217" s="114"/>
    </row>
    <row r="218" ht="19.5" customHeight="1">
      <c r="A218" s="114"/>
      <c r="B218" s="120"/>
      <c r="C218" s="114"/>
      <c r="D218" s="114"/>
    </row>
    <row r="219" ht="19.5" customHeight="1">
      <c r="A219" s="114"/>
      <c r="B219" s="120"/>
      <c r="C219" s="114"/>
      <c r="D219" s="114"/>
    </row>
    <row r="220" ht="19.5" customHeight="1">
      <c r="A220" s="114"/>
      <c r="B220" s="120"/>
      <c r="C220" s="114"/>
      <c r="D220" s="114"/>
    </row>
    <row r="221" ht="19.5" customHeight="1">
      <c r="A221" s="114"/>
      <c r="B221" s="120"/>
      <c r="C221" s="114"/>
      <c r="D221" s="114"/>
    </row>
    <row r="222" ht="19.5" customHeight="1">
      <c r="A222" s="114"/>
      <c r="B222" s="120"/>
      <c r="C222" s="114"/>
      <c r="D222" s="114"/>
    </row>
    <row r="223" ht="19.5" customHeight="1">
      <c r="A223" s="114"/>
      <c r="B223" s="120"/>
      <c r="C223" s="114"/>
      <c r="D223" s="114"/>
    </row>
    <row r="224" ht="19.5" customHeight="1">
      <c r="A224" s="114"/>
      <c r="B224" s="120"/>
      <c r="C224" s="114"/>
      <c r="D224" s="114"/>
    </row>
    <row r="225" ht="19.5" customHeight="1">
      <c r="A225" s="114"/>
      <c r="B225" s="120"/>
      <c r="C225" s="114"/>
      <c r="D225" s="114"/>
    </row>
    <row r="226" ht="19.5" customHeight="1">
      <c r="A226" s="114"/>
      <c r="B226" s="120"/>
      <c r="C226" s="114"/>
      <c r="D226" s="114"/>
    </row>
    <row r="227" ht="19.5" customHeight="1">
      <c r="A227" s="114"/>
      <c r="B227" s="120"/>
      <c r="C227" s="114"/>
      <c r="D227" s="114"/>
    </row>
    <row r="228" ht="19.5" customHeight="1">
      <c r="A228" s="114"/>
      <c r="B228" s="120"/>
      <c r="C228" s="114"/>
      <c r="D228" s="114"/>
    </row>
    <row r="229" ht="19.5" customHeight="1">
      <c r="A229" s="114"/>
      <c r="B229" s="120"/>
      <c r="C229" s="114"/>
      <c r="D229" s="114"/>
    </row>
    <row r="230" ht="19.5" customHeight="1">
      <c r="A230" s="114"/>
      <c r="B230" s="120"/>
      <c r="C230" s="114"/>
      <c r="D230" s="114"/>
    </row>
    <row r="231" ht="19.5" customHeight="1">
      <c r="A231" s="114"/>
      <c r="B231" s="120"/>
      <c r="C231" s="114"/>
      <c r="D231" s="114"/>
    </row>
    <row r="232" ht="19.5" customHeight="1">
      <c r="A232" s="114"/>
      <c r="B232" s="120"/>
      <c r="C232" s="114"/>
      <c r="D232" s="114"/>
    </row>
    <row r="233" ht="19.5" customHeight="1">
      <c r="A233" s="114"/>
      <c r="B233" s="120"/>
      <c r="C233" s="114"/>
      <c r="D233" s="114"/>
    </row>
    <row r="234" ht="19.5" customHeight="1">
      <c r="A234" s="114"/>
      <c r="B234" s="120"/>
      <c r="C234" s="114"/>
      <c r="D234" s="114"/>
    </row>
    <row r="235" ht="19.5" customHeight="1">
      <c r="A235" s="114"/>
      <c r="B235" s="120"/>
      <c r="C235" s="114"/>
      <c r="D235" s="114"/>
    </row>
    <row r="236" ht="19.5" customHeight="1">
      <c r="A236" s="114"/>
      <c r="B236" s="120"/>
      <c r="C236" s="114"/>
      <c r="D236" s="114"/>
    </row>
    <row r="237" ht="19.5" customHeight="1">
      <c r="A237" s="114"/>
      <c r="B237" s="120"/>
      <c r="C237" s="114"/>
      <c r="D237" s="114"/>
    </row>
    <row r="238" ht="19.5" customHeight="1">
      <c r="A238" s="114"/>
      <c r="B238" s="120"/>
      <c r="C238" s="114"/>
      <c r="D238" s="114"/>
    </row>
    <row r="239" ht="19.5" customHeight="1">
      <c r="A239" s="114"/>
      <c r="B239" s="120"/>
      <c r="C239" s="114"/>
      <c r="D239" s="114"/>
    </row>
    <row r="240" ht="19.5" customHeight="1">
      <c r="A240" s="114"/>
      <c r="B240" s="120"/>
      <c r="C240" s="114"/>
      <c r="D240" s="114"/>
    </row>
    <row r="241" ht="19.5" customHeight="1">
      <c r="A241" s="114"/>
      <c r="B241" s="120"/>
      <c r="C241" s="114"/>
      <c r="D241" s="114"/>
    </row>
    <row r="242" ht="19.5" customHeight="1">
      <c r="A242" s="114"/>
      <c r="B242" s="120"/>
      <c r="C242" s="114"/>
      <c r="D242" s="114"/>
    </row>
    <row r="243" ht="19.5" customHeight="1">
      <c r="A243" s="114"/>
      <c r="B243" s="120"/>
      <c r="C243" s="114"/>
      <c r="D243" s="114"/>
    </row>
    <row r="244" ht="19.5" customHeight="1">
      <c r="A244" s="114"/>
      <c r="B244" s="120"/>
      <c r="C244" s="114"/>
      <c r="D244" s="114"/>
    </row>
    <row r="245" ht="19.5" customHeight="1">
      <c r="A245" s="114"/>
      <c r="B245" s="120"/>
      <c r="C245" s="114"/>
      <c r="D245" s="114"/>
    </row>
    <row r="246" ht="19.5" customHeight="1">
      <c r="A246" s="114"/>
      <c r="B246" s="120"/>
      <c r="C246" s="114"/>
      <c r="D246" s="114"/>
    </row>
    <row r="247" ht="19.5" customHeight="1">
      <c r="A247" s="114"/>
      <c r="B247" s="120"/>
      <c r="C247" s="114"/>
      <c r="D247" s="114"/>
    </row>
    <row r="248" ht="19.5" customHeight="1">
      <c r="A248" s="114"/>
      <c r="B248" s="120"/>
      <c r="C248" s="114"/>
      <c r="D248" s="114"/>
    </row>
    <row r="249" ht="19.5" customHeight="1">
      <c r="A249" s="114"/>
      <c r="B249" s="120"/>
      <c r="C249" s="114"/>
      <c r="D249" s="114"/>
    </row>
    <row r="250" ht="19.5" customHeight="1">
      <c r="A250" s="114"/>
      <c r="B250" s="120"/>
      <c r="C250" s="114"/>
      <c r="D250" s="114"/>
    </row>
    <row r="251" ht="19.5" customHeight="1">
      <c r="A251" s="114"/>
      <c r="B251" s="120"/>
      <c r="C251" s="114"/>
      <c r="D251" s="114"/>
    </row>
    <row r="252" ht="19.5" customHeight="1">
      <c r="A252" s="114"/>
      <c r="B252" s="120"/>
      <c r="C252" s="114"/>
      <c r="D252" s="114"/>
    </row>
    <row r="253" ht="19.5" customHeight="1">
      <c r="A253" s="114"/>
      <c r="B253" s="120"/>
      <c r="C253" s="114"/>
      <c r="D253" s="114"/>
    </row>
    <row r="254" ht="19.5" customHeight="1">
      <c r="A254" s="114"/>
      <c r="B254" s="120"/>
      <c r="C254" s="114"/>
      <c r="D254" s="114"/>
    </row>
    <row r="255" ht="19.5" customHeight="1">
      <c r="A255" s="114"/>
      <c r="B255" s="120"/>
      <c r="C255" s="114"/>
      <c r="D255" s="114"/>
    </row>
    <row r="256" ht="19.5" customHeight="1">
      <c r="A256" s="114"/>
      <c r="B256" s="120"/>
      <c r="C256" s="114"/>
      <c r="D256" s="114"/>
    </row>
    <row r="257" ht="19.5" customHeight="1">
      <c r="A257" s="114"/>
      <c r="B257" s="120"/>
      <c r="C257" s="114"/>
      <c r="D257" s="114"/>
    </row>
    <row r="258" ht="19.5" customHeight="1">
      <c r="A258" s="114"/>
      <c r="B258" s="120"/>
      <c r="C258" s="114"/>
      <c r="D258" s="114"/>
    </row>
    <row r="259" ht="19.5" customHeight="1">
      <c r="A259" s="114"/>
      <c r="B259" s="120"/>
      <c r="C259" s="114"/>
      <c r="D259" s="114"/>
    </row>
    <row r="260" ht="19.5" customHeight="1">
      <c r="A260" s="114"/>
      <c r="B260" s="120"/>
      <c r="C260" s="114"/>
      <c r="D260" s="114"/>
    </row>
    <row r="261" ht="19.5" customHeight="1">
      <c r="A261" s="114"/>
      <c r="B261" s="120"/>
      <c r="C261" s="114"/>
      <c r="D261" s="114"/>
    </row>
    <row r="262" ht="19.5" customHeight="1">
      <c r="A262" s="114"/>
      <c r="B262" s="120"/>
      <c r="C262" s="114"/>
      <c r="D262" s="114"/>
    </row>
    <row r="263" ht="19.5" customHeight="1">
      <c r="A263" s="114"/>
      <c r="B263" s="120"/>
      <c r="C263" s="114"/>
      <c r="D263" s="114"/>
    </row>
    <row r="264" ht="19.5" customHeight="1">
      <c r="A264" s="114"/>
      <c r="B264" s="120"/>
      <c r="C264" s="114"/>
      <c r="D264" s="114"/>
    </row>
    <row r="265" ht="19.5" customHeight="1">
      <c r="A265" s="114"/>
      <c r="B265" s="120"/>
      <c r="C265" s="114"/>
      <c r="D265" s="114"/>
    </row>
    <row r="266" ht="19.5" customHeight="1">
      <c r="A266" s="114"/>
      <c r="B266" s="120"/>
      <c r="C266" s="114"/>
      <c r="D266" s="114"/>
    </row>
    <row r="267" ht="19.5" customHeight="1">
      <c r="A267" s="114"/>
      <c r="B267" s="120"/>
      <c r="C267" s="114"/>
      <c r="D267" s="114"/>
    </row>
    <row r="268" ht="19.5" customHeight="1">
      <c r="A268" s="114"/>
      <c r="B268" s="120"/>
      <c r="C268" s="114"/>
      <c r="D268" s="114"/>
    </row>
    <row r="269" ht="19.5" customHeight="1">
      <c r="A269" s="114"/>
      <c r="B269" s="120"/>
      <c r="C269" s="114"/>
      <c r="D269" s="114"/>
    </row>
    <row r="270" ht="19.5" customHeight="1">
      <c r="A270" s="114"/>
      <c r="B270" s="120"/>
      <c r="C270" s="114"/>
      <c r="D270" s="114"/>
    </row>
    <row r="271" ht="19.5" customHeight="1">
      <c r="A271" s="114"/>
      <c r="B271" s="120"/>
      <c r="C271" s="114"/>
      <c r="D271" s="114"/>
    </row>
    <row r="272" ht="19.5" customHeight="1">
      <c r="A272" s="114"/>
      <c r="B272" s="120"/>
      <c r="C272" s="114"/>
      <c r="D272" s="114"/>
    </row>
    <row r="273" ht="19.5" customHeight="1">
      <c r="A273" s="114"/>
      <c r="B273" s="120"/>
      <c r="C273" s="114"/>
      <c r="D273" s="114"/>
    </row>
    <row r="274" ht="19.5" customHeight="1">
      <c r="A274" s="114"/>
      <c r="B274" s="120"/>
      <c r="C274" s="114"/>
      <c r="D274" s="114"/>
    </row>
    <row r="275" ht="19.5" customHeight="1">
      <c r="A275" s="114"/>
      <c r="B275" s="120"/>
      <c r="C275" s="114"/>
      <c r="D275" s="114"/>
    </row>
    <row r="276" ht="19.5" customHeight="1">
      <c r="A276" s="114"/>
      <c r="B276" s="120"/>
      <c r="C276" s="114"/>
      <c r="D276" s="114"/>
    </row>
    <row r="277" ht="19.5" customHeight="1">
      <c r="A277" s="114"/>
      <c r="B277" s="120"/>
      <c r="C277" s="114"/>
      <c r="D277" s="114"/>
    </row>
    <row r="278" ht="19.5" customHeight="1">
      <c r="A278" s="114"/>
      <c r="B278" s="120"/>
      <c r="C278" s="114"/>
      <c r="D278" s="114"/>
    </row>
    <row r="279" ht="19.5" customHeight="1">
      <c r="A279" s="114"/>
      <c r="B279" s="120"/>
      <c r="C279" s="114"/>
      <c r="D279" s="114"/>
    </row>
    <row r="280" ht="19.5" customHeight="1">
      <c r="A280" s="114"/>
      <c r="B280" s="120"/>
      <c r="C280" s="114"/>
      <c r="D280" s="114"/>
    </row>
    <row r="281" ht="19.5" customHeight="1">
      <c r="A281" s="114"/>
      <c r="B281" s="120"/>
      <c r="C281" s="114"/>
      <c r="D281" s="114"/>
    </row>
    <row r="282" ht="19.5" customHeight="1">
      <c r="A282" s="114"/>
      <c r="B282" s="120"/>
      <c r="C282" s="114"/>
      <c r="D282" s="114"/>
    </row>
    <row r="283" ht="19.5" customHeight="1">
      <c r="A283" s="114"/>
      <c r="B283" s="120"/>
      <c r="C283" s="114"/>
      <c r="D283" s="114"/>
    </row>
    <row r="284" ht="19.5" customHeight="1">
      <c r="A284" s="114"/>
      <c r="B284" s="120"/>
      <c r="C284" s="114"/>
      <c r="D284" s="114"/>
    </row>
    <row r="285" ht="19.5" customHeight="1">
      <c r="A285" s="114"/>
      <c r="B285" s="120"/>
      <c r="C285" s="114"/>
      <c r="D285" s="114"/>
    </row>
    <row r="286" ht="19.5" customHeight="1">
      <c r="A286" s="114"/>
      <c r="B286" s="120"/>
      <c r="C286" s="114"/>
      <c r="D286" s="114"/>
    </row>
    <row r="287" ht="19.5" customHeight="1">
      <c r="A287" s="114"/>
      <c r="B287" s="120"/>
      <c r="C287" s="114"/>
      <c r="D287" s="114"/>
    </row>
    <row r="288" ht="19.5" customHeight="1">
      <c r="A288" s="114"/>
      <c r="B288" s="120"/>
      <c r="C288" s="114"/>
      <c r="D288" s="114"/>
    </row>
    <row r="289" ht="19.5" customHeight="1">
      <c r="A289" s="114"/>
      <c r="B289" s="120"/>
      <c r="C289" s="114"/>
      <c r="D289" s="114"/>
    </row>
    <row r="290" ht="19.5" customHeight="1">
      <c r="A290" s="114"/>
      <c r="B290" s="120"/>
      <c r="C290" s="114"/>
      <c r="D290" s="114"/>
    </row>
    <row r="291" ht="19.5" customHeight="1">
      <c r="A291" s="114"/>
      <c r="B291" s="120"/>
      <c r="C291" s="114"/>
      <c r="D291" s="114"/>
    </row>
    <row r="292" ht="19.5" customHeight="1">
      <c r="A292" s="114"/>
      <c r="B292" s="120"/>
      <c r="C292" s="114"/>
      <c r="D292" s="114"/>
    </row>
    <row r="293" ht="19.5" customHeight="1">
      <c r="A293" s="114"/>
      <c r="B293" s="120"/>
      <c r="C293" s="114"/>
      <c r="D293" s="114"/>
    </row>
    <row r="294" ht="19.5" customHeight="1">
      <c r="A294" s="114"/>
      <c r="B294" s="120"/>
      <c r="C294" s="114"/>
      <c r="D294" s="114"/>
    </row>
    <row r="295" ht="19.5" customHeight="1">
      <c r="A295" s="114"/>
      <c r="B295" s="120"/>
      <c r="C295" s="114"/>
      <c r="D295" s="114"/>
    </row>
    <row r="296" ht="19.5" customHeight="1">
      <c r="A296" s="114"/>
      <c r="B296" s="120"/>
      <c r="C296" s="114"/>
      <c r="D296" s="114"/>
    </row>
    <row r="297" ht="19.5" customHeight="1">
      <c r="A297" s="114"/>
      <c r="B297" s="120"/>
      <c r="C297" s="114"/>
      <c r="D297" s="114"/>
    </row>
    <row r="298" ht="19.5" customHeight="1">
      <c r="A298" s="114"/>
      <c r="B298" s="120"/>
      <c r="C298" s="114"/>
      <c r="D298" s="114"/>
    </row>
    <row r="299" ht="19.5" customHeight="1">
      <c r="A299" s="114"/>
      <c r="B299" s="120"/>
      <c r="C299" s="114"/>
      <c r="D299" s="114"/>
    </row>
    <row r="300" ht="19.5" customHeight="1">
      <c r="A300" s="114"/>
      <c r="B300" s="120"/>
      <c r="C300" s="114"/>
      <c r="D300" s="114"/>
    </row>
    <row r="301" ht="19.5" customHeight="1">
      <c r="A301" s="114"/>
      <c r="B301" s="120"/>
      <c r="C301" s="114"/>
      <c r="D301" s="114"/>
    </row>
    <row r="302" ht="19.5" customHeight="1">
      <c r="A302" s="114"/>
      <c r="B302" s="120"/>
      <c r="C302" s="114"/>
      <c r="D302" s="114"/>
    </row>
    <row r="303" ht="19.5" customHeight="1">
      <c r="A303" s="114"/>
      <c r="B303" s="120"/>
      <c r="C303" s="114"/>
      <c r="D303" s="114"/>
    </row>
    <row r="304" ht="19.5" customHeight="1">
      <c r="A304" s="114"/>
      <c r="B304" s="120"/>
      <c r="C304" s="114"/>
      <c r="D304" s="114"/>
    </row>
    <row r="305" ht="19.5" customHeight="1">
      <c r="A305" s="114"/>
      <c r="B305" s="120"/>
      <c r="C305" s="114"/>
      <c r="D305" s="114"/>
    </row>
    <row r="306" ht="19.5" customHeight="1">
      <c r="A306" s="114"/>
      <c r="B306" s="120"/>
      <c r="C306" s="114"/>
      <c r="D306" s="114"/>
    </row>
    <row r="307" ht="19.5" customHeight="1">
      <c r="A307" s="114"/>
      <c r="B307" s="120"/>
      <c r="C307" s="114"/>
      <c r="D307" s="114"/>
    </row>
    <row r="308" ht="19.5" customHeight="1">
      <c r="A308" s="114"/>
      <c r="B308" s="120"/>
      <c r="C308" s="114"/>
      <c r="D308" s="114"/>
    </row>
    <row r="309" ht="19.5" customHeight="1">
      <c r="A309" s="114"/>
      <c r="B309" s="120"/>
      <c r="C309" s="114"/>
      <c r="D309" s="114"/>
    </row>
    <row r="310" ht="19.5" customHeight="1">
      <c r="A310" s="114"/>
      <c r="B310" s="120"/>
      <c r="C310" s="114"/>
      <c r="D310" s="114"/>
    </row>
    <row r="311" ht="19.5" customHeight="1">
      <c r="A311" s="114"/>
      <c r="B311" s="120"/>
      <c r="C311" s="114"/>
      <c r="D311" s="114"/>
    </row>
    <row r="312" ht="19.5" customHeight="1">
      <c r="A312" s="114"/>
      <c r="B312" s="120"/>
      <c r="C312" s="114"/>
      <c r="D312" s="114"/>
    </row>
    <row r="313" ht="19.5" customHeight="1">
      <c r="A313" s="114"/>
      <c r="B313" s="120"/>
      <c r="C313" s="114"/>
      <c r="D313" s="114"/>
    </row>
    <row r="314" ht="19.5" customHeight="1">
      <c r="A314" s="114"/>
      <c r="B314" s="120"/>
      <c r="C314" s="114"/>
      <c r="D314" s="114"/>
    </row>
    <row r="315" ht="19.5" customHeight="1">
      <c r="A315" s="114"/>
      <c r="B315" s="120"/>
      <c r="C315" s="114"/>
      <c r="D315" s="114"/>
    </row>
    <row r="316" ht="19.5" customHeight="1">
      <c r="A316" s="114"/>
      <c r="B316" s="120"/>
      <c r="C316" s="114"/>
      <c r="D316" s="114"/>
    </row>
    <row r="317" ht="19.5" customHeight="1">
      <c r="A317" s="114"/>
      <c r="B317" s="120"/>
      <c r="C317" s="114"/>
      <c r="D317" s="114"/>
    </row>
    <row r="318" ht="19.5" customHeight="1">
      <c r="A318" s="114"/>
      <c r="B318" s="120"/>
      <c r="C318" s="114"/>
      <c r="D318" s="114"/>
    </row>
    <row r="319" ht="19.5" customHeight="1">
      <c r="A319" s="114"/>
      <c r="B319" s="120"/>
      <c r="C319" s="114"/>
      <c r="D319" s="114"/>
    </row>
    <row r="320" ht="19.5" customHeight="1">
      <c r="A320" s="114"/>
      <c r="B320" s="120"/>
      <c r="C320" s="114"/>
      <c r="D320" s="114"/>
    </row>
    <row r="321" ht="19.5" customHeight="1">
      <c r="A321" s="114"/>
      <c r="B321" s="120"/>
      <c r="C321" s="114"/>
      <c r="D321" s="114"/>
    </row>
    <row r="322" ht="19.5" customHeight="1">
      <c r="A322" s="114"/>
      <c r="B322" s="120"/>
      <c r="C322" s="114"/>
      <c r="D322" s="114"/>
    </row>
    <row r="323" ht="19.5" customHeight="1">
      <c r="A323" s="114"/>
      <c r="B323" s="120"/>
      <c r="C323" s="114"/>
      <c r="D323" s="114"/>
    </row>
    <row r="324" ht="19.5" customHeight="1">
      <c r="A324" s="114"/>
      <c r="B324" s="120"/>
      <c r="C324" s="114"/>
      <c r="D324" s="114"/>
    </row>
    <row r="325" ht="19.5" customHeight="1">
      <c r="A325" s="114"/>
      <c r="B325" s="120"/>
      <c r="C325" s="114"/>
      <c r="D325" s="114"/>
    </row>
    <row r="326" ht="19.5" customHeight="1">
      <c r="A326" s="114"/>
      <c r="B326" s="120"/>
      <c r="C326" s="114"/>
      <c r="D326" s="114"/>
    </row>
    <row r="327" ht="19.5" customHeight="1">
      <c r="A327" s="114"/>
      <c r="B327" s="120"/>
      <c r="C327" s="114"/>
      <c r="D327" s="114"/>
    </row>
    <row r="328" ht="19.5" customHeight="1">
      <c r="A328" s="114"/>
      <c r="B328" s="120"/>
      <c r="C328" s="114"/>
      <c r="D328" s="114"/>
    </row>
    <row r="329" ht="19.5" customHeight="1">
      <c r="A329" s="114"/>
      <c r="B329" s="120"/>
      <c r="C329" s="114"/>
      <c r="D329" s="114"/>
    </row>
    <row r="330" ht="19.5" customHeight="1">
      <c r="A330" s="114"/>
      <c r="B330" s="120"/>
      <c r="C330" s="114"/>
      <c r="D330" s="114"/>
    </row>
    <row r="331" ht="19.5" customHeight="1">
      <c r="A331" s="114"/>
      <c r="B331" s="120"/>
      <c r="C331" s="114"/>
      <c r="D331" s="114"/>
    </row>
    <row r="332" ht="19.5" customHeight="1">
      <c r="A332" s="114"/>
      <c r="B332" s="120"/>
      <c r="C332" s="114"/>
      <c r="D332" s="114"/>
    </row>
    <row r="333" ht="19.5" customHeight="1">
      <c r="A333" s="114"/>
      <c r="B333" s="120"/>
      <c r="C333" s="114"/>
      <c r="D333" s="114"/>
    </row>
    <row r="334" ht="19.5" customHeight="1">
      <c r="A334" s="114"/>
      <c r="B334" s="120"/>
      <c r="C334" s="114"/>
      <c r="D334" s="114"/>
    </row>
    <row r="335" ht="19.5" customHeight="1">
      <c r="A335" s="114"/>
      <c r="B335" s="120"/>
      <c r="C335" s="114"/>
      <c r="D335" s="114"/>
    </row>
    <row r="336" ht="19.5" customHeight="1">
      <c r="A336" s="114"/>
      <c r="B336" s="120"/>
      <c r="C336" s="114"/>
      <c r="D336" s="114"/>
    </row>
    <row r="337" ht="19.5" customHeight="1">
      <c r="A337" s="114"/>
      <c r="B337" s="120"/>
      <c r="C337" s="114"/>
      <c r="D337" s="114"/>
    </row>
    <row r="338" ht="19.5" customHeight="1">
      <c r="A338" s="114"/>
      <c r="B338" s="120"/>
      <c r="C338" s="114"/>
      <c r="D338" s="114"/>
    </row>
    <row r="339" ht="19.5" customHeight="1">
      <c r="A339" s="114"/>
      <c r="B339" s="120"/>
      <c r="C339" s="114"/>
      <c r="D339" s="114"/>
    </row>
    <row r="340" ht="19.5" customHeight="1">
      <c r="A340" s="114"/>
      <c r="B340" s="120"/>
      <c r="C340" s="114"/>
      <c r="D340" s="114"/>
    </row>
    <row r="341" ht="19.5" customHeight="1">
      <c r="A341" s="114"/>
      <c r="B341" s="120"/>
      <c r="C341" s="114"/>
      <c r="D341" s="114"/>
    </row>
    <row r="342" ht="19.5" customHeight="1">
      <c r="A342" s="114"/>
      <c r="B342" s="120"/>
      <c r="C342" s="114"/>
      <c r="D342" s="114"/>
    </row>
    <row r="343" ht="19.5" customHeight="1">
      <c r="A343" s="114"/>
      <c r="B343" s="120"/>
      <c r="C343" s="114"/>
      <c r="D343" s="114"/>
    </row>
    <row r="344" ht="19.5" customHeight="1">
      <c r="A344" s="114"/>
      <c r="B344" s="120"/>
      <c r="C344" s="114"/>
      <c r="D344" s="114"/>
    </row>
    <row r="345" ht="19.5" customHeight="1">
      <c r="A345" s="114"/>
      <c r="B345" s="120"/>
      <c r="C345" s="114"/>
      <c r="D345" s="114"/>
    </row>
    <row r="346" ht="19.5" customHeight="1">
      <c r="A346" s="114"/>
      <c r="B346" s="120"/>
      <c r="C346" s="114"/>
      <c r="D346" s="114"/>
    </row>
    <row r="347" ht="19.5" customHeight="1">
      <c r="A347" s="114"/>
      <c r="B347" s="120"/>
      <c r="C347" s="114"/>
      <c r="D347" s="114"/>
    </row>
    <row r="348" ht="19.5" customHeight="1">
      <c r="A348" s="114"/>
      <c r="B348" s="120"/>
      <c r="C348" s="114"/>
      <c r="D348" s="114"/>
    </row>
    <row r="349" ht="19.5" customHeight="1">
      <c r="A349" s="114"/>
      <c r="B349" s="120"/>
      <c r="C349" s="114"/>
      <c r="D349" s="114"/>
    </row>
    <row r="350" ht="19.5" customHeight="1">
      <c r="A350" s="114"/>
      <c r="B350" s="120"/>
      <c r="C350" s="114"/>
      <c r="D350" s="114"/>
    </row>
    <row r="351" ht="19.5" customHeight="1">
      <c r="A351" s="114"/>
      <c r="B351" s="120"/>
      <c r="C351" s="114"/>
      <c r="D351" s="114"/>
    </row>
    <row r="352" ht="19.5" customHeight="1">
      <c r="A352" s="114"/>
      <c r="B352" s="120"/>
      <c r="C352" s="114"/>
      <c r="D352" s="114"/>
    </row>
    <row r="353" ht="19.5" customHeight="1">
      <c r="A353" s="114"/>
      <c r="B353" s="120"/>
      <c r="C353" s="114"/>
      <c r="D353" s="114"/>
    </row>
    <row r="354" ht="19.5" customHeight="1">
      <c r="A354" s="114"/>
      <c r="B354" s="120"/>
      <c r="C354" s="114"/>
      <c r="D354" s="114"/>
    </row>
    <row r="355" ht="19.5" customHeight="1">
      <c r="A355" s="114"/>
      <c r="B355" s="120"/>
      <c r="C355" s="114"/>
      <c r="D355" s="114"/>
    </row>
    <row r="356" ht="19.5" customHeight="1">
      <c r="A356" s="114"/>
      <c r="B356" s="120"/>
      <c r="C356" s="114"/>
      <c r="D356" s="114"/>
    </row>
    <row r="357" ht="19.5" customHeight="1">
      <c r="A357" s="114"/>
      <c r="B357" s="120"/>
      <c r="C357" s="114"/>
      <c r="D357" s="114"/>
    </row>
    <row r="358" ht="19.5" customHeight="1">
      <c r="A358" s="114"/>
      <c r="B358" s="120"/>
      <c r="C358" s="114"/>
      <c r="D358" s="114"/>
    </row>
    <row r="359" ht="19.5" customHeight="1">
      <c r="A359" s="114"/>
      <c r="B359" s="120"/>
      <c r="C359" s="114"/>
      <c r="D359" s="114"/>
    </row>
    <row r="360" ht="19.5" customHeight="1">
      <c r="A360" s="114"/>
      <c r="B360" s="120"/>
      <c r="C360" s="114"/>
      <c r="D360" s="114"/>
    </row>
    <row r="361" ht="19.5" customHeight="1">
      <c r="A361" s="114"/>
      <c r="B361" s="120"/>
      <c r="C361" s="114"/>
      <c r="D361" s="114"/>
    </row>
    <row r="362" ht="19.5" customHeight="1">
      <c r="A362" s="114"/>
      <c r="B362" s="120"/>
      <c r="C362" s="114"/>
      <c r="D362" s="114"/>
    </row>
    <row r="363" ht="19.5" customHeight="1">
      <c r="A363" s="114"/>
      <c r="B363" s="120"/>
      <c r="C363" s="114"/>
      <c r="D363" s="114"/>
    </row>
    <row r="364" ht="19.5" customHeight="1">
      <c r="A364" s="114"/>
      <c r="B364" s="120"/>
      <c r="C364" s="114"/>
      <c r="D364" s="114"/>
    </row>
    <row r="365" ht="19.5" customHeight="1">
      <c r="A365" s="114"/>
      <c r="B365" s="120"/>
      <c r="C365" s="114"/>
      <c r="D365" s="114"/>
    </row>
    <row r="366" ht="19.5" customHeight="1">
      <c r="A366" s="114"/>
      <c r="B366" s="120"/>
      <c r="C366" s="114"/>
      <c r="D366" s="114"/>
    </row>
    <row r="367" ht="19.5" customHeight="1">
      <c r="A367" s="114"/>
      <c r="B367" s="120"/>
      <c r="C367" s="114"/>
      <c r="D367" s="114"/>
    </row>
    <row r="368" ht="19.5" customHeight="1">
      <c r="A368" s="114"/>
      <c r="B368" s="120"/>
      <c r="C368" s="114"/>
      <c r="D368" s="114"/>
    </row>
    <row r="369" ht="19.5" customHeight="1">
      <c r="A369" s="114"/>
      <c r="B369" s="120"/>
      <c r="C369" s="114"/>
      <c r="D369" s="114"/>
    </row>
    <row r="370" ht="19.5" customHeight="1">
      <c r="A370" s="114"/>
      <c r="B370" s="120"/>
      <c r="C370" s="114"/>
      <c r="D370" s="114"/>
    </row>
    <row r="371" ht="19.5" customHeight="1">
      <c r="A371" s="114"/>
      <c r="B371" s="120"/>
      <c r="C371" s="114"/>
      <c r="D371" s="114"/>
    </row>
    <row r="372" ht="19.5" customHeight="1">
      <c r="A372" s="114"/>
      <c r="B372" s="120"/>
      <c r="C372" s="114"/>
      <c r="D372" s="114"/>
    </row>
    <row r="373" ht="19.5" customHeight="1">
      <c r="A373" s="114"/>
      <c r="B373" s="120"/>
      <c r="C373" s="114"/>
      <c r="D373" s="114"/>
    </row>
    <row r="374" ht="19.5" customHeight="1">
      <c r="A374" s="114"/>
      <c r="B374" s="120"/>
      <c r="C374" s="114"/>
      <c r="D374" s="114"/>
    </row>
    <row r="375" ht="19.5" customHeight="1">
      <c r="A375" s="114"/>
      <c r="B375" s="120"/>
      <c r="C375" s="114"/>
      <c r="D375" s="114"/>
    </row>
    <row r="376" ht="19.5" customHeight="1">
      <c r="A376" s="114"/>
      <c r="B376" s="120"/>
      <c r="C376" s="114"/>
      <c r="D376" s="114"/>
    </row>
    <row r="377" ht="19.5" customHeight="1">
      <c r="A377" s="114"/>
      <c r="B377" s="120"/>
      <c r="C377" s="114"/>
      <c r="D377" s="114"/>
    </row>
    <row r="378" ht="19.5" customHeight="1">
      <c r="A378" s="114"/>
      <c r="B378" s="120"/>
      <c r="C378" s="114"/>
      <c r="D378" s="114"/>
    </row>
    <row r="379" ht="19.5" customHeight="1">
      <c r="A379" s="114"/>
      <c r="B379" s="120"/>
      <c r="C379" s="114"/>
      <c r="D379" s="114"/>
    </row>
    <row r="380" ht="19.5" customHeight="1">
      <c r="A380" s="114"/>
      <c r="B380" s="120"/>
      <c r="C380" s="114"/>
      <c r="D380" s="114"/>
    </row>
    <row r="381" ht="19.5" customHeight="1">
      <c r="A381" s="114"/>
      <c r="B381" s="120"/>
      <c r="C381" s="114"/>
      <c r="D381" s="114"/>
    </row>
    <row r="382" ht="19.5" customHeight="1">
      <c r="A382" s="114"/>
      <c r="B382" s="120"/>
      <c r="C382" s="114"/>
      <c r="D382" s="114"/>
    </row>
    <row r="383" ht="19.5" customHeight="1">
      <c r="A383" s="114"/>
      <c r="B383" s="120"/>
      <c r="C383" s="114"/>
      <c r="D383" s="114"/>
    </row>
    <row r="384" ht="19.5" customHeight="1">
      <c r="A384" s="114"/>
      <c r="B384" s="120"/>
      <c r="C384" s="114"/>
      <c r="D384" s="114"/>
    </row>
    <row r="385" ht="19.5" customHeight="1">
      <c r="A385" s="114"/>
      <c r="B385" s="120"/>
      <c r="C385" s="114"/>
      <c r="D385" s="114"/>
    </row>
    <row r="386" ht="19.5" customHeight="1">
      <c r="A386" s="114"/>
      <c r="B386" s="120"/>
      <c r="C386" s="114"/>
      <c r="D386" s="114"/>
    </row>
    <row r="387" ht="19.5" customHeight="1">
      <c r="A387" s="114"/>
      <c r="B387" s="120"/>
      <c r="C387" s="114"/>
      <c r="D387" s="114"/>
    </row>
    <row r="388" ht="19.5" customHeight="1">
      <c r="A388" s="114"/>
      <c r="B388" s="120"/>
      <c r="C388" s="114"/>
      <c r="D388" s="114"/>
    </row>
    <row r="389" ht="19.5" customHeight="1">
      <c r="A389" s="114"/>
      <c r="B389" s="120"/>
      <c r="C389" s="114"/>
      <c r="D389" s="114"/>
    </row>
    <row r="390" ht="19.5" customHeight="1">
      <c r="A390" s="114"/>
      <c r="B390" s="120"/>
      <c r="C390" s="114"/>
      <c r="D390" s="114"/>
    </row>
    <row r="391" ht="19.5" customHeight="1">
      <c r="A391" s="114"/>
      <c r="B391" s="120"/>
      <c r="C391" s="114"/>
      <c r="D391" s="114"/>
    </row>
    <row r="392" ht="19.5" customHeight="1">
      <c r="A392" s="114"/>
      <c r="B392" s="120"/>
      <c r="C392" s="114"/>
      <c r="D392" s="114"/>
    </row>
    <row r="393" ht="19.5" customHeight="1">
      <c r="A393" s="114"/>
      <c r="B393" s="120"/>
      <c r="C393" s="114"/>
      <c r="D393" s="114"/>
    </row>
    <row r="394" ht="19.5" customHeight="1">
      <c r="A394" s="114"/>
      <c r="B394" s="120"/>
      <c r="C394" s="114"/>
      <c r="D394" s="114"/>
    </row>
    <row r="395" ht="19.5" customHeight="1">
      <c r="A395" s="114"/>
      <c r="B395" s="120"/>
      <c r="C395" s="114"/>
      <c r="D395" s="114"/>
    </row>
    <row r="396" ht="19.5" customHeight="1">
      <c r="A396" s="114"/>
      <c r="B396" s="120"/>
      <c r="C396" s="114"/>
      <c r="D396" s="114"/>
    </row>
    <row r="397" ht="19.5" customHeight="1">
      <c r="A397" s="114"/>
      <c r="B397" s="120"/>
      <c r="C397" s="114"/>
      <c r="D397" s="114"/>
    </row>
    <row r="398" ht="19.5" customHeight="1">
      <c r="A398" s="114"/>
      <c r="B398" s="120"/>
      <c r="C398" s="114"/>
      <c r="D398" s="114"/>
    </row>
    <row r="399" ht="19.5" customHeight="1">
      <c r="A399" s="114"/>
      <c r="B399" s="120"/>
      <c r="C399" s="114"/>
      <c r="D399" s="114"/>
    </row>
    <row r="400" ht="19.5" customHeight="1">
      <c r="A400" s="114"/>
      <c r="B400" s="120"/>
      <c r="C400" s="114"/>
      <c r="D400" s="114"/>
    </row>
    <row r="401" ht="19.5" customHeight="1">
      <c r="A401" s="114"/>
      <c r="B401" s="120"/>
      <c r="C401" s="114"/>
      <c r="D401" s="114"/>
    </row>
    <row r="402" ht="19.5" customHeight="1">
      <c r="A402" s="114"/>
      <c r="B402" s="120"/>
      <c r="C402" s="114"/>
      <c r="D402" s="114"/>
    </row>
    <row r="403" ht="19.5" customHeight="1">
      <c r="A403" s="114"/>
      <c r="B403" s="120"/>
      <c r="C403" s="114"/>
      <c r="D403" s="114"/>
    </row>
    <row r="404" ht="19.5" customHeight="1">
      <c r="A404" s="114"/>
      <c r="B404" s="120"/>
      <c r="C404" s="114"/>
      <c r="D404" s="114"/>
    </row>
    <row r="405" ht="19.5" customHeight="1">
      <c r="A405" s="114"/>
      <c r="B405" s="120"/>
      <c r="C405" s="114"/>
      <c r="D405" s="114"/>
    </row>
    <row r="406" ht="19.5" customHeight="1">
      <c r="A406" s="114"/>
      <c r="B406" s="120"/>
      <c r="C406" s="114"/>
      <c r="D406" s="114"/>
    </row>
    <row r="407" ht="19.5" customHeight="1">
      <c r="A407" s="114"/>
      <c r="B407" s="120"/>
      <c r="C407" s="114"/>
      <c r="D407" s="114"/>
    </row>
    <row r="408" ht="19.5" customHeight="1">
      <c r="A408" s="114"/>
      <c r="B408" s="120"/>
      <c r="C408" s="114"/>
      <c r="D408" s="114"/>
    </row>
    <row r="409" ht="19.5" customHeight="1">
      <c r="A409" s="114"/>
      <c r="B409" s="120"/>
      <c r="C409" s="114"/>
      <c r="D409" s="114"/>
    </row>
    <row r="410" ht="19.5" customHeight="1">
      <c r="A410" s="114"/>
      <c r="B410" s="120"/>
      <c r="C410" s="114"/>
      <c r="D410" s="114"/>
    </row>
    <row r="411" ht="19.5" customHeight="1">
      <c r="A411" s="114"/>
      <c r="B411" s="120"/>
      <c r="C411" s="114"/>
      <c r="D411" s="114"/>
    </row>
    <row r="412" ht="19.5" customHeight="1">
      <c r="A412" s="114"/>
      <c r="B412" s="120"/>
      <c r="C412" s="114"/>
      <c r="D412" s="114"/>
    </row>
    <row r="413" ht="19.5" customHeight="1">
      <c r="A413" s="114"/>
      <c r="B413" s="120"/>
      <c r="C413" s="114"/>
      <c r="D413" s="114"/>
    </row>
    <row r="414" ht="19.5" customHeight="1">
      <c r="A414" s="114"/>
      <c r="B414" s="120"/>
      <c r="C414" s="114"/>
      <c r="D414" s="114"/>
    </row>
    <row r="415" ht="19.5" customHeight="1">
      <c r="A415" s="114"/>
      <c r="B415" s="120"/>
      <c r="C415" s="114"/>
      <c r="D415" s="114"/>
    </row>
    <row r="416" ht="19.5" customHeight="1">
      <c r="A416" s="114"/>
      <c r="B416" s="120"/>
      <c r="C416" s="114"/>
      <c r="D416" s="114"/>
    </row>
    <row r="417" ht="19.5" customHeight="1">
      <c r="A417" s="114"/>
      <c r="B417" s="120"/>
      <c r="C417" s="114"/>
      <c r="D417" s="114"/>
    </row>
    <row r="418" ht="19.5" customHeight="1">
      <c r="A418" s="114"/>
      <c r="B418" s="120"/>
      <c r="C418" s="114"/>
      <c r="D418" s="114"/>
    </row>
    <row r="419" ht="19.5" customHeight="1">
      <c r="A419" s="114"/>
      <c r="B419" s="120"/>
      <c r="C419" s="114"/>
      <c r="D419" s="114"/>
    </row>
    <row r="420" ht="19.5" customHeight="1">
      <c r="A420" s="114"/>
      <c r="B420" s="120"/>
      <c r="C420" s="114"/>
      <c r="D420" s="114"/>
    </row>
    <row r="421" ht="19.5" customHeight="1">
      <c r="A421" s="114"/>
      <c r="B421" s="120"/>
      <c r="C421" s="114"/>
      <c r="D421" s="114"/>
    </row>
    <row r="422" ht="19.5" customHeight="1">
      <c r="A422" s="114"/>
      <c r="B422" s="120"/>
      <c r="C422" s="114"/>
      <c r="D422" s="114"/>
    </row>
    <row r="423" ht="19.5" customHeight="1">
      <c r="A423" s="114"/>
      <c r="B423" s="120"/>
      <c r="C423" s="114"/>
      <c r="D423" s="114"/>
    </row>
    <row r="424" ht="19.5" customHeight="1">
      <c r="A424" s="114"/>
      <c r="B424" s="120"/>
      <c r="C424" s="114"/>
      <c r="D424" s="114"/>
    </row>
    <row r="425" ht="19.5" customHeight="1">
      <c r="A425" s="114"/>
      <c r="B425" s="120"/>
      <c r="C425" s="114"/>
      <c r="D425" s="114"/>
    </row>
    <row r="426" ht="19.5" customHeight="1">
      <c r="A426" s="114"/>
      <c r="B426" s="120"/>
      <c r="C426" s="114"/>
      <c r="D426" s="114"/>
    </row>
    <row r="427" ht="19.5" customHeight="1">
      <c r="A427" s="114"/>
      <c r="B427" s="120"/>
      <c r="C427" s="114"/>
      <c r="D427" s="114"/>
    </row>
    <row r="428" ht="19.5" customHeight="1">
      <c r="A428" s="114"/>
      <c r="B428" s="120"/>
      <c r="C428" s="114"/>
      <c r="D428" s="114"/>
    </row>
    <row r="429" ht="19.5" customHeight="1">
      <c r="A429" s="114"/>
      <c r="B429" s="120"/>
      <c r="C429" s="114"/>
      <c r="D429" s="114"/>
    </row>
    <row r="430" ht="19.5" customHeight="1">
      <c r="A430" s="114"/>
      <c r="B430" s="120"/>
      <c r="C430" s="114"/>
      <c r="D430" s="114"/>
    </row>
    <row r="431" ht="19.5" customHeight="1">
      <c r="A431" s="114"/>
      <c r="B431" s="120"/>
      <c r="C431" s="114"/>
      <c r="D431" s="114"/>
    </row>
    <row r="432" ht="19.5" customHeight="1">
      <c r="A432" s="114"/>
      <c r="B432" s="120"/>
      <c r="C432" s="114"/>
      <c r="D432" s="114"/>
    </row>
    <row r="433" ht="19.5" customHeight="1">
      <c r="A433" s="114"/>
      <c r="B433" s="120"/>
      <c r="C433" s="114"/>
      <c r="D433" s="114"/>
    </row>
    <row r="434" ht="19.5" customHeight="1">
      <c r="A434" s="114"/>
      <c r="B434" s="120"/>
      <c r="C434" s="114"/>
      <c r="D434" s="114"/>
    </row>
    <row r="435" ht="19.5" customHeight="1">
      <c r="A435" s="114"/>
      <c r="B435" s="120"/>
      <c r="C435" s="114"/>
      <c r="D435" s="114"/>
    </row>
    <row r="436" ht="19.5" customHeight="1">
      <c r="A436" s="114"/>
      <c r="B436" s="120"/>
      <c r="C436" s="114"/>
      <c r="D436" s="114"/>
    </row>
    <row r="437" ht="19.5" customHeight="1">
      <c r="A437" s="114"/>
      <c r="B437" s="120"/>
      <c r="C437" s="114"/>
      <c r="D437" s="114"/>
    </row>
    <row r="438" ht="19.5" customHeight="1">
      <c r="A438" s="114"/>
      <c r="B438" s="120"/>
      <c r="C438" s="114"/>
      <c r="D438" s="114"/>
    </row>
    <row r="439" ht="19.5" customHeight="1">
      <c r="A439" s="114"/>
      <c r="B439" s="120"/>
      <c r="C439" s="114"/>
      <c r="D439" s="114"/>
    </row>
    <row r="440" ht="19.5" customHeight="1">
      <c r="A440" s="114"/>
      <c r="B440" s="120"/>
      <c r="C440" s="114"/>
      <c r="D440" s="114"/>
    </row>
    <row r="441" ht="19.5" customHeight="1">
      <c r="A441" s="114"/>
      <c r="B441" s="120"/>
      <c r="C441" s="114"/>
      <c r="D441" s="114"/>
    </row>
    <row r="442" ht="19.5" customHeight="1">
      <c r="A442" s="114"/>
      <c r="B442" s="120"/>
      <c r="C442" s="114"/>
      <c r="D442" s="114"/>
    </row>
    <row r="443" ht="19.5" customHeight="1">
      <c r="A443" s="114"/>
      <c r="B443" s="120"/>
      <c r="C443" s="114"/>
      <c r="D443" s="114"/>
    </row>
    <row r="444" ht="19.5" customHeight="1">
      <c r="A444" s="114"/>
      <c r="B444" s="120"/>
      <c r="C444" s="114"/>
      <c r="D444" s="114"/>
    </row>
    <row r="445" ht="19.5" customHeight="1">
      <c r="A445" s="114"/>
      <c r="B445" s="120"/>
      <c r="C445" s="114"/>
      <c r="D445" s="114"/>
    </row>
    <row r="446" ht="19.5" customHeight="1">
      <c r="A446" s="114"/>
      <c r="B446" s="120"/>
      <c r="C446" s="114"/>
      <c r="D446" s="114"/>
    </row>
    <row r="447" ht="19.5" customHeight="1">
      <c r="A447" s="114"/>
      <c r="B447" s="120"/>
      <c r="C447" s="114"/>
      <c r="D447" s="114"/>
    </row>
    <row r="448" ht="19.5" customHeight="1">
      <c r="A448" s="114"/>
      <c r="B448" s="120"/>
      <c r="C448" s="114"/>
      <c r="D448" s="114"/>
    </row>
    <row r="449" ht="19.5" customHeight="1">
      <c r="A449" s="114"/>
      <c r="B449" s="120"/>
      <c r="C449" s="114"/>
      <c r="D449" s="114"/>
    </row>
    <row r="450" ht="19.5" customHeight="1">
      <c r="A450" s="114"/>
      <c r="B450" s="120"/>
      <c r="C450" s="114"/>
      <c r="D450" s="114"/>
    </row>
    <row r="451" ht="19.5" customHeight="1">
      <c r="A451" s="114"/>
      <c r="B451" s="120"/>
      <c r="C451" s="114"/>
      <c r="D451" s="114"/>
    </row>
    <row r="452" ht="19.5" customHeight="1">
      <c r="A452" s="114"/>
      <c r="B452" s="120"/>
      <c r="C452" s="114"/>
      <c r="D452" s="114"/>
    </row>
    <row r="453" ht="19.5" customHeight="1">
      <c r="A453" s="114"/>
      <c r="B453" s="120"/>
      <c r="C453" s="114"/>
      <c r="D453" s="114"/>
    </row>
    <row r="454" ht="19.5" customHeight="1">
      <c r="A454" s="114"/>
      <c r="B454" s="120"/>
      <c r="C454" s="114"/>
      <c r="D454" s="114"/>
    </row>
    <row r="455" ht="19.5" customHeight="1">
      <c r="A455" s="114"/>
      <c r="B455" s="120"/>
      <c r="C455" s="114"/>
      <c r="D455" s="114"/>
    </row>
    <row r="456" ht="19.5" customHeight="1">
      <c r="A456" s="114"/>
      <c r="B456" s="120"/>
      <c r="C456" s="114"/>
      <c r="D456" s="114"/>
    </row>
    <row r="457" ht="19.5" customHeight="1">
      <c r="A457" s="114"/>
      <c r="B457" s="120"/>
      <c r="C457" s="114"/>
      <c r="D457" s="114"/>
    </row>
    <row r="458" ht="19.5" customHeight="1">
      <c r="A458" s="114"/>
      <c r="B458" s="120"/>
      <c r="C458" s="114"/>
      <c r="D458" s="114"/>
    </row>
    <row r="459" ht="19.5" customHeight="1">
      <c r="A459" s="114"/>
      <c r="B459" s="120"/>
      <c r="C459" s="114"/>
      <c r="D459" s="114"/>
    </row>
    <row r="460" ht="19.5" customHeight="1">
      <c r="A460" s="114"/>
      <c r="B460" s="120"/>
      <c r="C460" s="114"/>
      <c r="D460" s="114"/>
    </row>
    <row r="461" ht="19.5" customHeight="1">
      <c r="A461" s="114"/>
      <c r="B461" s="120"/>
      <c r="C461" s="114"/>
      <c r="D461" s="114"/>
    </row>
    <row r="462" ht="19.5" customHeight="1">
      <c r="A462" s="114"/>
      <c r="B462" s="120"/>
      <c r="C462" s="114"/>
      <c r="D462" s="114"/>
    </row>
    <row r="463" ht="19.5" customHeight="1">
      <c r="A463" s="114"/>
      <c r="B463" s="120"/>
      <c r="C463" s="114"/>
      <c r="D463" s="114"/>
    </row>
    <row r="464" ht="19.5" customHeight="1">
      <c r="A464" s="114"/>
      <c r="B464" s="120"/>
      <c r="C464" s="114"/>
      <c r="D464" s="114"/>
    </row>
    <row r="465" ht="19.5" customHeight="1">
      <c r="A465" s="114"/>
      <c r="B465" s="120"/>
      <c r="C465" s="114"/>
      <c r="D465" s="114"/>
    </row>
    <row r="466" ht="19.5" customHeight="1">
      <c r="A466" s="114"/>
      <c r="B466" s="120"/>
      <c r="C466" s="114"/>
      <c r="D466" s="114"/>
    </row>
    <row r="467" ht="19.5" customHeight="1">
      <c r="A467" s="114"/>
      <c r="B467" s="120"/>
      <c r="C467" s="114"/>
      <c r="D467" s="114"/>
    </row>
    <row r="468" ht="19.5" customHeight="1">
      <c r="A468" s="114"/>
      <c r="B468" s="120"/>
      <c r="C468" s="114"/>
      <c r="D468" s="114"/>
    </row>
    <row r="469" ht="19.5" customHeight="1">
      <c r="A469" s="114"/>
      <c r="B469" s="120"/>
      <c r="C469" s="114"/>
      <c r="D469" s="114"/>
    </row>
    <row r="470" ht="19.5" customHeight="1">
      <c r="A470" s="114"/>
      <c r="B470" s="120"/>
      <c r="C470" s="114"/>
      <c r="D470" s="114"/>
    </row>
    <row r="471" ht="19.5" customHeight="1">
      <c r="A471" s="114"/>
      <c r="B471" s="120"/>
      <c r="C471" s="114"/>
      <c r="D471" s="114"/>
    </row>
    <row r="472" ht="19.5" customHeight="1">
      <c r="A472" s="114"/>
      <c r="B472" s="120"/>
      <c r="C472" s="114"/>
      <c r="D472" s="114"/>
    </row>
    <row r="473" ht="19.5" customHeight="1">
      <c r="A473" s="114"/>
      <c r="B473" s="120"/>
      <c r="C473" s="114"/>
      <c r="D473" s="114"/>
    </row>
    <row r="474" ht="19.5" customHeight="1">
      <c r="A474" s="114"/>
      <c r="B474" s="120"/>
      <c r="C474" s="114"/>
      <c r="D474" s="114"/>
    </row>
    <row r="475" ht="19.5" customHeight="1">
      <c r="A475" s="114"/>
      <c r="B475" s="120"/>
      <c r="C475" s="114"/>
      <c r="D475" s="114"/>
    </row>
    <row r="476" ht="19.5" customHeight="1">
      <c r="A476" s="114"/>
      <c r="B476" s="120"/>
      <c r="C476" s="114"/>
      <c r="D476" s="114"/>
    </row>
    <row r="477" ht="19.5" customHeight="1">
      <c r="A477" s="114"/>
      <c r="B477" s="120"/>
      <c r="C477" s="114"/>
      <c r="D477" s="114"/>
    </row>
    <row r="478" ht="19.5" customHeight="1">
      <c r="A478" s="114"/>
      <c r="B478" s="120"/>
      <c r="C478" s="114"/>
      <c r="D478" s="114"/>
    </row>
    <row r="479" ht="19.5" customHeight="1">
      <c r="A479" s="114"/>
      <c r="B479" s="120"/>
      <c r="C479" s="114"/>
      <c r="D479" s="114"/>
    </row>
    <row r="480" ht="19.5" customHeight="1">
      <c r="A480" s="114"/>
      <c r="B480" s="120"/>
      <c r="C480" s="114"/>
      <c r="D480" s="114"/>
    </row>
    <row r="481" ht="19.5" customHeight="1">
      <c r="A481" s="114"/>
      <c r="B481" s="120"/>
      <c r="C481" s="114"/>
      <c r="D481" s="114"/>
    </row>
    <row r="482" ht="19.5" customHeight="1">
      <c r="A482" s="114"/>
      <c r="B482" s="120"/>
      <c r="C482" s="114"/>
      <c r="D482" s="114"/>
    </row>
    <row r="483" ht="19.5" customHeight="1">
      <c r="A483" s="114"/>
      <c r="B483" s="120"/>
      <c r="C483" s="114"/>
      <c r="D483" s="114"/>
    </row>
    <row r="484" ht="19.5" customHeight="1">
      <c r="A484" s="114"/>
      <c r="B484" s="120"/>
      <c r="C484" s="114"/>
      <c r="D484" s="114"/>
    </row>
    <row r="485" ht="19.5" customHeight="1">
      <c r="A485" s="114"/>
      <c r="B485" s="120"/>
      <c r="C485" s="114"/>
      <c r="D485" s="114"/>
    </row>
    <row r="486" ht="19.5" customHeight="1">
      <c r="A486" s="114"/>
      <c r="B486" s="120"/>
      <c r="C486" s="114"/>
      <c r="D486" s="114"/>
    </row>
    <row r="487" ht="19.5" customHeight="1">
      <c r="A487" s="114"/>
      <c r="B487" s="120"/>
      <c r="C487" s="114"/>
      <c r="D487" s="114"/>
    </row>
    <row r="488" ht="19.5" customHeight="1">
      <c r="A488" s="114"/>
      <c r="B488" s="120"/>
      <c r="C488" s="114"/>
      <c r="D488" s="114"/>
    </row>
    <row r="489" ht="19.5" customHeight="1">
      <c r="A489" s="114"/>
      <c r="B489" s="120"/>
      <c r="C489" s="114"/>
      <c r="D489" s="114"/>
    </row>
    <row r="490" ht="19.5" customHeight="1">
      <c r="A490" s="114"/>
      <c r="B490" s="120"/>
      <c r="C490" s="114"/>
      <c r="D490" s="114"/>
    </row>
    <row r="491" ht="19.5" customHeight="1">
      <c r="A491" s="114"/>
      <c r="B491" s="120"/>
      <c r="C491" s="114"/>
      <c r="D491" s="114"/>
    </row>
    <row r="492" ht="19.5" customHeight="1">
      <c r="A492" s="114"/>
      <c r="B492" s="120"/>
      <c r="C492" s="114"/>
      <c r="D492" s="114"/>
    </row>
    <row r="493" ht="19.5" customHeight="1">
      <c r="A493" s="114"/>
      <c r="B493" s="120"/>
      <c r="C493" s="114"/>
      <c r="D493" s="114"/>
    </row>
    <row r="494" ht="19.5" customHeight="1">
      <c r="A494" s="114"/>
      <c r="B494" s="120"/>
      <c r="C494" s="114"/>
      <c r="D494" s="114"/>
    </row>
    <row r="495" ht="19.5" customHeight="1">
      <c r="A495" s="114"/>
      <c r="B495" s="120"/>
      <c r="C495" s="114"/>
      <c r="D495" s="114"/>
    </row>
    <row r="496" ht="19.5" customHeight="1">
      <c r="A496" s="114"/>
      <c r="B496" s="120"/>
      <c r="C496" s="114"/>
      <c r="D496" s="114"/>
    </row>
    <row r="497" ht="19.5" customHeight="1">
      <c r="A497" s="114"/>
      <c r="B497" s="120"/>
      <c r="C497" s="114"/>
      <c r="D497" s="114"/>
    </row>
    <row r="498" ht="19.5" customHeight="1">
      <c r="A498" s="114"/>
      <c r="B498" s="120"/>
      <c r="C498" s="114"/>
      <c r="D498" s="114"/>
    </row>
    <row r="499" ht="19.5" customHeight="1">
      <c r="A499" s="114"/>
      <c r="B499" s="120"/>
      <c r="C499" s="114"/>
      <c r="D499" s="114"/>
    </row>
    <row r="500" ht="19.5" customHeight="1">
      <c r="A500" s="114"/>
      <c r="B500" s="120"/>
      <c r="C500" s="114"/>
      <c r="D500" s="114"/>
    </row>
    <row r="501" ht="19.5" customHeight="1">
      <c r="A501" s="114"/>
      <c r="B501" s="120"/>
      <c r="C501" s="114"/>
      <c r="D501" s="114"/>
    </row>
    <row r="502" ht="19.5" customHeight="1">
      <c r="A502" s="114"/>
      <c r="B502" s="120"/>
      <c r="C502" s="114"/>
      <c r="D502" s="114"/>
    </row>
    <row r="503" ht="19.5" customHeight="1">
      <c r="A503" s="114"/>
      <c r="B503" s="120"/>
      <c r="C503" s="114"/>
      <c r="D503" s="114"/>
    </row>
    <row r="504" ht="19.5" customHeight="1">
      <c r="A504" s="114"/>
      <c r="B504" s="120"/>
      <c r="C504" s="114"/>
      <c r="D504" s="114"/>
    </row>
    <row r="505" ht="19.5" customHeight="1">
      <c r="A505" s="114"/>
      <c r="B505" s="120"/>
      <c r="C505" s="114"/>
      <c r="D505" s="114"/>
    </row>
    <row r="506" ht="19.5" customHeight="1">
      <c r="A506" s="114"/>
      <c r="B506" s="120"/>
      <c r="C506" s="114"/>
      <c r="D506" s="114"/>
    </row>
    <row r="507" ht="19.5" customHeight="1">
      <c r="A507" s="114"/>
      <c r="B507" s="120"/>
      <c r="C507" s="114"/>
      <c r="D507" s="114"/>
    </row>
    <row r="508" ht="19.5" customHeight="1">
      <c r="A508" s="114"/>
      <c r="B508" s="120"/>
      <c r="C508" s="114"/>
      <c r="D508" s="114"/>
    </row>
    <row r="509" ht="19.5" customHeight="1">
      <c r="A509" s="114"/>
      <c r="B509" s="120"/>
      <c r="C509" s="114"/>
      <c r="D509" s="114"/>
    </row>
    <row r="510" ht="19.5" customHeight="1">
      <c r="A510" s="114"/>
      <c r="B510" s="120"/>
      <c r="C510" s="114"/>
      <c r="D510" s="114"/>
    </row>
    <row r="511" ht="19.5" customHeight="1">
      <c r="A511" s="114"/>
      <c r="B511" s="120"/>
      <c r="C511" s="114"/>
      <c r="D511" s="114"/>
    </row>
    <row r="512" ht="19.5" customHeight="1">
      <c r="A512" s="114"/>
      <c r="B512" s="120"/>
      <c r="C512" s="114"/>
      <c r="D512" s="114"/>
    </row>
    <row r="513" ht="19.5" customHeight="1">
      <c r="A513" s="114"/>
      <c r="B513" s="120"/>
      <c r="C513" s="114"/>
      <c r="D513" s="114"/>
    </row>
    <row r="514" ht="19.5" customHeight="1">
      <c r="A514" s="114"/>
      <c r="B514" s="120"/>
      <c r="C514" s="114"/>
      <c r="D514" s="114"/>
    </row>
    <row r="515" ht="19.5" customHeight="1">
      <c r="A515" s="114"/>
      <c r="B515" s="120"/>
      <c r="C515" s="114"/>
      <c r="D515" s="114"/>
    </row>
    <row r="516" ht="19.5" customHeight="1">
      <c r="A516" s="114"/>
      <c r="B516" s="120"/>
      <c r="C516" s="114"/>
      <c r="D516" s="114"/>
    </row>
    <row r="517" ht="19.5" customHeight="1">
      <c r="A517" s="114"/>
      <c r="B517" s="120"/>
      <c r="C517" s="114"/>
      <c r="D517" s="114"/>
    </row>
    <row r="518" ht="19.5" customHeight="1">
      <c r="A518" s="114"/>
      <c r="B518" s="120"/>
      <c r="C518" s="114"/>
      <c r="D518" s="114"/>
    </row>
    <row r="519" ht="19.5" customHeight="1">
      <c r="A519" s="114"/>
      <c r="B519" s="120"/>
      <c r="C519" s="114"/>
      <c r="D519" s="114"/>
    </row>
    <row r="520" ht="19.5" customHeight="1">
      <c r="A520" s="114"/>
      <c r="B520" s="120"/>
      <c r="C520" s="114"/>
      <c r="D520" s="114"/>
    </row>
    <row r="521" ht="19.5" customHeight="1">
      <c r="A521" s="114"/>
      <c r="B521" s="120"/>
      <c r="C521" s="114"/>
      <c r="D521" s="114"/>
    </row>
    <row r="522" ht="19.5" customHeight="1">
      <c r="A522" s="114"/>
      <c r="B522" s="120"/>
      <c r="C522" s="114"/>
      <c r="D522" s="114"/>
    </row>
    <row r="523" ht="19.5" customHeight="1">
      <c r="A523" s="114"/>
      <c r="B523" s="120"/>
      <c r="C523" s="114"/>
      <c r="D523" s="114"/>
    </row>
    <row r="524" ht="19.5" customHeight="1">
      <c r="A524" s="114"/>
      <c r="B524" s="120"/>
      <c r="C524" s="114"/>
      <c r="D524" s="114"/>
    </row>
    <row r="525" ht="19.5" customHeight="1">
      <c r="A525" s="114"/>
      <c r="B525" s="120"/>
      <c r="C525" s="114"/>
      <c r="D525" s="114"/>
    </row>
    <row r="526" ht="19.5" customHeight="1">
      <c r="A526" s="114"/>
      <c r="B526" s="120"/>
      <c r="C526" s="114"/>
      <c r="D526" s="114"/>
    </row>
    <row r="527" ht="19.5" customHeight="1">
      <c r="A527" s="114"/>
      <c r="B527" s="120"/>
      <c r="C527" s="114"/>
      <c r="D527" s="114"/>
    </row>
    <row r="528" ht="19.5" customHeight="1">
      <c r="A528" s="114"/>
      <c r="B528" s="120"/>
      <c r="C528" s="114"/>
      <c r="D528" s="114"/>
    </row>
    <row r="529" ht="19.5" customHeight="1">
      <c r="A529" s="114"/>
      <c r="B529" s="120"/>
      <c r="C529" s="114"/>
      <c r="D529" s="114"/>
    </row>
    <row r="530" ht="19.5" customHeight="1">
      <c r="A530" s="114"/>
      <c r="B530" s="120"/>
      <c r="C530" s="114"/>
      <c r="D530" s="114"/>
    </row>
    <row r="531" ht="19.5" customHeight="1">
      <c r="A531" s="114"/>
      <c r="B531" s="120"/>
      <c r="C531" s="114"/>
      <c r="D531" s="114"/>
    </row>
    <row r="532" ht="19.5" customHeight="1">
      <c r="A532" s="114"/>
      <c r="B532" s="120"/>
      <c r="C532" s="114"/>
      <c r="D532" s="114"/>
    </row>
    <row r="533" ht="19.5" customHeight="1">
      <c r="A533" s="114"/>
      <c r="B533" s="120"/>
      <c r="C533" s="114"/>
      <c r="D533" s="114"/>
    </row>
    <row r="534" ht="19.5" customHeight="1">
      <c r="A534" s="114"/>
      <c r="B534" s="120"/>
      <c r="C534" s="114"/>
      <c r="D534" s="114"/>
    </row>
    <row r="535" ht="19.5" customHeight="1">
      <c r="A535" s="114"/>
      <c r="B535" s="120"/>
      <c r="C535" s="114"/>
      <c r="D535" s="114"/>
    </row>
    <row r="536" ht="19.5" customHeight="1">
      <c r="A536" s="114"/>
      <c r="B536" s="120"/>
      <c r="C536" s="114"/>
      <c r="D536" s="114"/>
    </row>
    <row r="537" ht="19.5" customHeight="1">
      <c r="A537" s="114"/>
      <c r="B537" s="120"/>
      <c r="C537" s="114"/>
      <c r="D537" s="114"/>
    </row>
    <row r="538" ht="19.5" customHeight="1">
      <c r="A538" s="114"/>
      <c r="B538" s="120"/>
      <c r="C538" s="114"/>
      <c r="D538" s="114"/>
    </row>
    <row r="539" ht="19.5" customHeight="1">
      <c r="A539" s="114"/>
      <c r="B539" s="120"/>
      <c r="C539" s="114"/>
      <c r="D539" s="114"/>
    </row>
    <row r="540" ht="19.5" customHeight="1">
      <c r="A540" s="114"/>
      <c r="B540" s="120"/>
      <c r="C540" s="114"/>
      <c r="D540" s="114"/>
    </row>
    <row r="541" ht="19.5" customHeight="1">
      <c r="A541" s="114"/>
      <c r="B541" s="120"/>
      <c r="C541" s="114"/>
      <c r="D541" s="114"/>
    </row>
    <row r="542" ht="19.5" customHeight="1">
      <c r="A542" s="114"/>
      <c r="B542" s="120"/>
      <c r="C542" s="114"/>
      <c r="D542" s="114"/>
    </row>
    <row r="543" ht="19.5" customHeight="1">
      <c r="A543" s="114"/>
      <c r="B543" s="120"/>
      <c r="C543" s="114"/>
      <c r="D543" s="114"/>
    </row>
    <row r="544" ht="19.5" customHeight="1">
      <c r="A544" s="114"/>
      <c r="B544" s="120"/>
      <c r="C544" s="114"/>
      <c r="D544" s="114"/>
    </row>
    <row r="545" ht="19.5" customHeight="1">
      <c r="A545" s="114"/>
      <c r="B545" s="120"/>
      <c r="C545" s="114"/>
      <c r="D545" s="114"/>
    </row>
    <row r="546" ht="19.5" customHeight="1">
      <c r="A546" s="114"/>
      <c r="B546" s="120"/>
      <c r="C546" s="114"/>
      <c r="D546" s="114"/>
    </row>
    <row r="547" ht="19.5" customHeight="1">
      <c r="A547" s="114"/>
      <c r="B547" s="120"/>
      <c r="C547" s="114"/>
      <c r="D547" s="114"/>
    </row>
    <row r="548" ht="19.5" customHeight="1">
      <c r="A548" s="114"/>
      <c r="B548" s="120"/>
      <c r="C548" s="114"/>
      <c r="D548" s="114"/>
    </row>
    <row r="549" ht="19.5" customHeight="1">
      <c r="A549" s="114"/>
      <c r="B549" s="120"/>
      <c r="C549" s="114"/>
      <c r="D549" s="114"/>
    </row>
    <row r="550" ht="19.5" customHeight="1">
      <c r="A550" s="114"/>
      <c r="B550" s="120"/>
      <c r="C550" s="114"/>
      <c r="D550" s="114"/>
    </row>
    <row r="551" ht="19.5" customHeight="1">
      <c r="A551" s="114"/>
      <c r="B551" s="120"/>
      <c r="C551" s="114"/>
      <c r="D551" s="114"/>
    </row>
    <row r="552" ht="19.5" customHeight="1">
      <c r="A552" s="114"/>
      <c r="B552" s="120"/>
      <c r="C552" s="114"/>
      <c r="D552" s="114"/>
    </row>
    <row r="553" ht="19.5" customHeight="1">
      <c r="A553" s="114"/>
      <c r="B553" s="120"/>
      <c r="C553" s="114"/>
      <c r="D553" s="114"/>
    </row>
    <row r="554" ht="19.5" customHeight="1">
      <c r="A554" s="114"/>
      <c r="B554" s="120"/>
      <c r="C554" s="114"/>
      <c r="D554" s="114"/>
    </row>
    <row r="555" ht="19.5" customHeight="1">
      <c r="A555" s="114"/>
      <c r="B555" s="120"/>
      <c r="C555" s="114"/>
      <c r="D555" s="114"/>
    </row>
    <row r="556" ht="19.5" customHeight="1">
      <c r="A556" s="114"/>
      <c r="B556" s="120"/>
      <c r="C556" s="114"/>
      <c r="D556" s="114"/>
    </row>
    <row r="557" ht="19.5" customHeight="1">
      <c r="A557" s="114"/>
      <c r="B557" s="120"/>
      <c r="C557" s="114"/>
      <c r="D557" s="114"/>
    </row>
    <row r="558" ht="19.5" customHeight="1">
      <c r="A558" s="114"/>
      <c r="B558" s="120"/>
      <c r="C558" s="114"/>
      <c r="D558" s="114"/>
    </row>
    <row r="559" ht="19.5" customHeight="1">
      <c r="A559" s="114"/>
      <c r="B559" s="120"/>
      <c r="C559" s="114"/>
      <c r="D559" s="114"/>
    </row>
    <row r="560" ht="19.5" customHeight="1">
      <c r="A560" s="114"/>
      <c r="B560" s="120"/>
      <c r="C560" s="114"/>
      <c r="D560" s="114"/>
    </row>
    <row r="561" ht="19.5" customHeight="1">
      <c r="A561" s="114"/>
      <c r="B561" s="120"/>
      <c r="C561" s="114"/>
      <c r="D561" s="114"/>
    </row>
    <row r="562" ht="19.5" customHeight="1">
      <c r="A562" s="114"/>
      <c r="B562" s="120"/>
      <c r="C562" s="114"/>
      <c r="D562" s="114"/>
    </row>
    <row r="563" ht="19.5" customHeight="1">
      <c r="A563" s="114"/>
      <c r="B563" s="120"/>
      <c r="C563" s="114"/>
      <c r="D563" s="114"/>
    </row>
    <row r="564" ht="19.5" customHeight="1">
      <c r="A564" s="114"/>
      <c r="B564" s="120"/>
      <c r="C564" s="114"/>
      <c r="D564" s="114"/>
    </row>
    <row r="565" ht="19.5" customHeight="1">
      <c r="A565" s="114"/>
      <c r="B565" s="120"/>
      <c r="C565" s="114"/>
      <c r="D565" s="114"/>
    </row>
    <row r="566" ht="19.5" customHeight="1">
      <c r="A566" s="114"/>
      <c r="B566" s="120"/>
      <c r="C566" s="114"/>
      <c r="D566" s="114"/>
    </row>
    <row r="567" ht="19.5" customHeight="1">
      <c r="A567" s="114"/>
      <c r="B567" s="120"/>
      <c r="C567" s="114"/>
      <c r="D567" s="114"/>
    </row>
    <row r="568" ht="19.5" customHeight="1">
      <c r="A568" s="114"/>
      <c r="B568" s="120"/>
      <c r="C568" s="114"/>
      <c r="D568" s="114"/>
    </row>
    <row r="569" ht="19.5" customHeight="1">
      <c r="A569" s="114"/>
      <c r="B569" s="120"/>
      <c r="C569" s="114"/>
      <c r="D569" s="114"/>
    </row>
    <row r="570" ht="19.5" customHeight="1">
      <c r="A570" s="114"/>
      <c r="B570" s="120"/>
      <c r="C570" s="114"/>
      <c r="D570" s="114"/>
    </row>
    <row r="571" ht="19.5" customHeight="1">
      <c r="A571" s="114"/>
      <c r="B571" s="120"/>
      <c r="C571" s="114"/>
      <c r="D571" s="114"/>
    </row>
    <row r="572" ht="19.5" customHeight="1">
      <c r="A572" s="114"/>
      <c r="B572" s="120"/>
      <c r="C572" s="114"/>
      <c r="D572" s="114"/>
    </row>
    <row r="573" ht="19.5" customHeight="1">
      <c r="A573" s="114"/>
      <c r="B573" s="120"/>
      <c r="C573" s="114"/>
      <c r="D573" s="114"/>
    </row>
    <row r="574" ht="19.5" customHeight="1">
      <c r="A574" s="114"/>
      <c r="B574" s="120"/>
      <c r="C574" s="114"/>
      <c r="D574" s="114"/>
    </row>
    <row r="575" ht="19.5" customHeight="1">
      <c r="A575" s="114"/>
      <c r="B575" s="120"/>
      <c r="C575" s="114"/>
      <c r="D575" s="114"/>
    </row>
    <row r="576" ht="19.5" customHeight="1">
      <c r="A576" s="114"/>
      <c r="B576" s="120"/>
      <c r="C576" s="114"/>
      <c r="D576" s="114"/>
    </row>
    <row r="577" ht="19.5" customHeight="1">
      <c r="A577" s="114"/>
      <c r="B577" s="120"/>
      <c r="C577" s="114"/>
      <c r="D577" s="114"/>
    </row>
    <row r="578" ht="19.5" customHeight="1">
      <c r="A578" s="114"/>
      <c r="B578" s="120"/>
      <c r="C578" s="114"/>
      <c r="D578" s="114"/>
    </row>
    <row r="579" ht="19.5" customHeight="1">
      <c r="A579" s="114"/>
      <c r="B579" s="120"/>
      <c r="C579" s="114"/>
      <c r="D579" s="114"/>
    </row>
    <row r="580" ht="19.5" customHeight="1">
      <c r="A580" s="114"/>
      <c r="B580" s="120"/>
      <c r="C580" s="114"/>
      <c r="D580" s="114"/>
    </row>
    <row r="581" ht="19.5" customHeight="1">
      <c r="A581" s="114"/>
      <c r="B581" s="120"/>
      <c r="C581" s="114"/>
      <c r="D581" s="114"/>
    </row>
    <row r="582" ht="19.5" customHeight="1">
      <c r="A582" s="114"/>
      <c r="B582" s="120"/>
      <c r="C582" s="114"/>
      <c r="D582" s="114"/>
    </row>
    <row r="583" ht="19.5" customHeight="1">
      <c r="A583" s="114"/>
      <c r="B583" s="120"/>
      <c r="C583" s="114"/>
      <c r="D583" s="114"/>
    </row>
    <row r="584" ht="19.5" customHeight="1">
      <c r="A584" s="114"/>
      <c r="B584" s="120"/>
      <c r="C584" s="114"/>
      <c r="D584" s="114"/>
    </row>
    <row r="585" ht="19.5" customHeight="1">
      <c r="A585" s="114"/>
      <c r="B585" s="120"/>
      <c r="C585" s="114"/>
      <c r="D585" s="114"/>
    </row>
    <row r="586" ht="19.5" customHeight="1">
      <c r="A586" s="114"/>
      <c r="B586" s="120"/>
      <c r="C586" s="114"/>
      <c r="D586" s="114"/>
    </row>
    <row r="587" ht="19.5" customHeight="1">
      <c r="A587" s="114"/>
      <c r="B587" s="120"/>
      <c r="C587" s="114"/>
      <c r="D587" s="114"/>
    </row>
    <row r="588" ht="19.5" customHeight="1">
      <c r="A588" s="114"/>
      <c r="B588" s="120"/>
      <c r="C588" s="114"/>
      <c r="D588" s="114"/>
    </row>
    <row r="589" ht="19.5" customHeight="1">
      <c r="A589" s="114"/>
      <c r="B589" s="120"/>
      <c r="C589" s="114"/>
      <c r="D589" s="114"/>
    </row>
    <row r="590" ht="19.5" customHeight="1">
      <c r="A590" s="114"/>
      <c r="B590" s="120"/>
      <c r="C590" s="114"/>
      <c r="D590" s="114"/>
    </row>
    <row r="591" ht="19.5" customHeight="1">
      <c r="A591" s="114"/>
      <c r="B591" s="120"/>
      <c r="C591" s="114"/>
      <c r="D591" s="114"/>
    </row>
    <row r="592" ht="19.5" customHeight="1">
      <c r="A592" s="114"/>
      <c r="B592" s="120"/>
      <c r="C592" s="114"/>
      <c r="D592" s="114"/>
    </row>
    <row r="593" ht="19.5" customHeight="1">
      <c r="A593" s="114"/>
      <c r="B593" s="120"/>
      <c r="C593" s="114"/>
      <c r="D593" s="114"/>
    </row>
    <row r="594" ht="19.5" customHeight="1">
      <c r="A594" s="114"/>
      <c r="B594" s="120"/>
      <c r="C594" s="114"/>
      <c r="D594" s="114"/>
    </row>
    <row r="595" ht="19.5" customHeight="1">
      <c r="A595" s="114"/>
      <c r="B595" s="120"/>
      <c r="C595" s="114"/>
      <c r="D595" s="114"/>
    </row>
    <row r="596" ht="19.5" customHeight="1">
      <c r="A596" s="114"/>
      <c r="B596" s="120"/>
      <c r="C596" s="114"/>
      <c r="D596" s="114"/>
    </row>
    <row r="597" ht="19.5" customHeight="1">
      <c r="A597" s="114"/>
      <c r="B597" s="120"/>
      <c r="C597" s="114"/>
      <c r="D597" s="114"/>
    </row>
    <row r="598" ht="19.5" customHeight="1">
      <c r="A598" s="114"/>
      <c r="B598" s="120"/>
      <c r="C598" s="114"/>
      <c r="D598" s="114"/>
    </row>
    <row r="599" ht="19.5" customHeight="1">
      <c r="A599" s="114"/>
      <c r="B599" s="120"/>
      <c r="C599" s="114"/>
      <c r="D599" s="114"/>
    </row>
    <row r="600" ht="19.5" customHeight="1">
      <c r="A600" s="114"/>
      <c r="B600" s="120"/>
      <c r="C600" s="114"/>
      <c r="D600" s="114"/>
    </row>
    <row r="601" ht="19.5" customHeight="1">
      <c r="A601" s="114"/>
      <c r="B601" s="120"/>
      <c r="C601" s="114"/>
      <c r="D601" s="114"/>
    </row>
    <row r="602" ht="19.5" customHeight="1">
      <c r="A602" s="114"/>
      <c r="B602" s="120"/>
      <c r="C602" s="114"/>
      <c r="D602" s="114"/>
    </row>
    <row r="603" ht="19.5" customHeight="1">
      <c r="A603" s="114"/>
      <c r="B603" s="120"/>
      <c r="C603" s="114"/>
      <c r="D603" s="114"/>
    </row>
    <row r="604" ht="19.5" customHeight="1">
      <c r="A604" s="114"/>
      <c r="B604" s="120"/>
      <c r="C604" s="114"/>
      <c r="D604" s="114"/>
    </row>
    <row r="605" ht="19.5" customHeight="1">
      <c r="A605" s="114"/>
      <c r="B605" s="120"/>
      <c r="C605" s="114"/>
      <c r="D605" s="114"/>
    </row>
    <row r="606" ht="19.5" customHeight="1">
      <c r="A606" s="114"/>
      <c r="B606" s="120"/>
      <c r="C606" s="114"/>
      <c r="D606" s="114"/>
    </row>
    <row r="607" ht="19.5" customHeight="1">
      <c r="A607" s="114"/>
      <c r="B607" s="120"/>
      <c r="C607" s="114"/>
      <c r="D607" s="114"/>
    </row>
    <row r="608" ht="19.5" customHeight="1">
      <c r="A608" s="114"/>
      <c r="B608" s="120"/>
      <c r="C608" s="114"/>
      <c r="D608" s="114"/>
    </row>
    <row r="609" ht="19.5" customHeight="1">
      <c r="A609" s="114"/>
      <c r="B609" s="120"/>
      <c r="C609" s="114"/>
      <c r="D609" s="114"/>
    </row>
    <row r="610" ht="19.5" customHeight="1">
      <c r="A610" s="114"/>
      <c r="B610" s="120"/>
      <c r="C610" s="114"/>
      <c r="D610" s="114"/>
    </row>
    <row r="611" ht="19.5" customHeight="1">
      <c r="A611" s="114"/>
      <c r="B611" s="120"/>
      <c r="C611" s="114"/>
      <c r="D611" s="114"/>
    </row>
    <row r="612" ht="19.5" customHeight="1">
      <c r="A612" s="114"/>
      <c r="B612" s="120"/>
      <c r="C612" s="114"/>
      <c r="D612" s="114"/>
    </row>
    <row r="613" ht="19.5" customHeight="1">
      <c r="A613" s="114"/>
      <c r="B613" s="120"/>
      <c r="C613" s="114"/>
      <c r="D613" s="114"/>
    </row>
    <row r="614" ht="19.5" customHeight="1">
      <c r="A614" s="114"/>
      <c r="B614" s="120"/>
      <c r="C614" s="114"/>
      <c r="D614" s="114"/>
    </row>
    <row r="615" ht="19.5" customHeight="1">
      <c r="A615" s="114"/>
      <c r="B615" s="120"/>
      <c r="C615" s="114"/>
      <c r="D615" s="114"/>
    </row>
    <row r="616" ht="19.5" customHeight="1">
      <c r="A616" s="114"/>
      <c r="B616" s="120"/>
      <c r="C616" s="114"/>
      <c r="D616" s="114"/>
    </row>
    <row r="617" ht="19.5" customHeight="1">
      <c r="A617" s="114"/>
      <c r="B617" s="120"/>
      <c r="C617" s="114"/>
      <c r="D617" s="114"/>
    </row>
    <row r="618" ht="19.5" customHeight="1">
      <c r="A618" s="114"/>
      <c r="B618" s="120"/>
      <c r="C618" s="114"/>
      <c r="D618" s="114"/>
    </row>
    <row r="619" ht="19.5" customHeight="1">
      <c r="A619" s="114"/>
      <c r="B619" s="120"/>
      <c r="C619" s="114"/>
      <c r="D619" s="114"/>
    </row>
    <row r="620" ht="19.5" customHeight="1">
      <c r="A620" s="114"/>
      <c r="B620" s="120"/>
      <c r="C620" s="114"/>
      <c r="D620" s="114"/>
    </row>
    <row r="621" ht="19.5" customHeight="1">
      <c r="A621" s="114"/>
      <c r="B621" s="120"/>
      <c r="C621" s="114"/>
      <c r="D621" s="114"/>
    </row>
    <row r="622" ht="19.5" customHeight="1">
      <c r="A622" s="114"/>
      <c r="B622" s="120"/>
      <c r="C622" s="114"/>
      <c r="D622" s="114"/>
    </row>
    <row r="623" ht="19.5" customHeight="1">
      <c r="A623" s="114"/>
      <c r="B623" s="120"/>
      <c r="C623" s="114"/>
      <c r="D623" s="114"/>
    </row>
    <row r="624" ht="19.5" customHeight="1">
      <c r="A624" s="114"/>
      <c r="B624" s="120"/>
      <c r="C624" s="114"/>
      <c r="D624" s="114"/>
    </row>
    <row r="625" ht="19.5" customHeight="1">
      <c r="A625" s="114"/>
      <c r="B625" s="120"/>
      <c r="C625" s="114"/>
      <c r="D625" s="114"/>
    </row>
    <row r="626" ht="19.5" customHeight="1">
      <c r="A626" s="114"/>
      <c r="B626" s="120"/>
      <c r="C626" s="114"/>
      <c r="D626" s="114"/>
    </row>
    <row r="627" ht="19.5" customHeight="1">
      <c r="A627" s="114"/>
      <c r="B627" s="120"/>
      <c r="C627" s="114"/>
      <c r="D627" s="114"/>
    </row>
    <row r="628" ht="19.5" customHeight="1">
      <c r="A628" s="114"/>
      <c r="B628" s="120"/>
      <c r="C628" s="114"/>
      <c r="D628" s="114"/>
    </row>
    <row r="629" ht="19.5" customHeight="1">
      <c r="A629" s="114"/>
      <c r="B629" s="120"/>
      <c r="C629" s="114"/>
      <c r="D629" s="114"/>
    </row>
    <row r="630" ht="19.5" customHeight="1">
      <c r="A630" s="114"/>
      <c r="B630" s="120"/>
      <c r="C630" s="114"/>
      <c r="D630" s="114"/>
    </row>
    <row r="631" ht="19.5" customHeight="1">
      <c r="A631" s="114"/>
      <c r="B631" s="120"/>
      <c r="C631" s="114"/>
      <c r="D631" s="114"/>
    </row>
    <row r="632" ht="19.5" customHeight="1">
      <c r="A632" s="114"/>
      <c r="B632" s="120"/>
      <c r="C632" s="114"/>
      <c r="D632" s="114"/>
    </row>
    <row r="633" ht="19.5" customHeight="1">
      <c r="A633" s="114"/>
      <c r="B633" s="120"/>
      <c r="C633" s="114"/>
      <c r="D633" s="114"/>
    </row>
    <row r="634" ht="19.5" customHeight="1">
      <c r="A634" s="114"/>
      <c r="B634" s="120"/>
      <c r="C634" s="114"/>
      <c r="D634" s="114"/>
    </row>
    <row r="635" ht="19.5" customHeight="1">
      <c r="A635" s="114"/>
      <c r="B635" s="120"/>
      <c r="C635" s="114"/>
      <c r="D635" s="114"/>
    </row>
    <row r="636" ht="19.5" customHeight="1">
      <c r="A636" s="114"/>
      <c r="B636" s="120"/>
      <c r="C636" s="114"/>
      <c r="D636" s="114"/>
    </row>
    <row r="637" ht="19.5" customHeight="1">
      <c r="A637" s="114"/>
      <c r="B637" s="120"/>
      <c r="C637" s="114"/>
      <c r="D637" s="114"/>
    </row>
    <row r="638" ht="19.5" customHeight="1">
      <c r="A638" s="114"/>
      <c r="B638" s="120"/>
      <c r="C638" s="114"/>
      <c r="D638" s="114"/>
    </row>
    <row r="639" ht="19.5" customHeight="1">
      <c r="A639" s="114"/>
      <c r="B639" s="120"/>
      <c r="C639" s="114"/>
      <c r="D639" s="114"/>
    </row>
    <row r="640" ht="19.5" customHeight="1">
      <c r="A640" s="114"/>
      <c r="B640" s="120"/>
      <c r="C640" s="114"/>
      <c r="D640" s="114"/>
    </row>
    <row r="641" ht="19.5" customHeight="1">
      <c r="A641" s="114"/>
      <c r="B641" s="120"/>
      <c r="C641" s="114"/>
      <c r="D641" s="114"/>
    </row>
    <row r="642" ht="19.5" customHeight="1">
      <c r="A642" s="114"/>
      <c r="B642" s="120"/>
      <c r="C642" s="114"/>
      <c r="D642" s="114"/>
    </row>
    <row r="643" ht="19.5" customHeight="1">
      <c r="A643" s="114"/>
      <c r="B643" s="120"/>
      <c r="C643" s="114"/>
      <c r="D643" s="114"/>
    </row>
    <row r="644" ht="19.5" customHeight="1">
      <c r="A644" s="114"/>
      <c r="B644" s="120"/>
      <c r="C644" s="114"/>
      <c r="D644" s="114"/>
    </row>
    <row r="645" ht="19.5" customHeight="1">
      <c r="A645" s="114"/>
      <c r="B645" s="120"/>
      <c r="C645" s="114"/>
      <c r="D645" s="114"/>
    </row>
    <row r="646" ht="19.5" customHeight="1">
      <c r="A646" s="114"/>
      <c r="B646" s="120"/>
      <c r="C646" s="114"/>
      <c r="D646" s="114"/>
    </row>
    <row r="647" ht="19.5" customHeight="1">
      <c r="A647" s="114"/>
      <c r="B647" s="120"/>
      <c r="C647" s="114"/>
      <c r="D647" s="114"/>
    </row>
    <row r="648" ht="19.5" customHeight="1">
      <c r="A648" s="114"/>
      <c r="B648" s="120"/>
      <c r="C648" s="114"/>
      <c r="D648" s="114"/>
    </row>
    <row r="649" ht="19.5" customHeight="1">
      <c r="A649" s="114"/>
      <c r="B649" s="120"/>
      <c r="C649" s="114"/>
      <c r="D649" s="114"/>
    </row>
    <row r="650" ht="19.5" customHeight="1">
      <c r="A650" s="114"/>
      <c r="B650" s="120"/>
      <c r="C650" s="114"/>
      <c r="D650" s="114"/>
    </row>
    <row r="651" ht="19.5" customHeight="1">
      <c r="A651" s="114"/>
      <c r="B651" s="120"/>
      <c r="C651" s="114"/>
      <c r="D651" s="114"/>
    </row>
    <row r="652" ht="19.5" customHeight="1">
      <c r="A652" s="114"/>
      <c r="B652" s="120"/>
      <c r="C652" s="114"/>
      <c r="D652" s="114"/>
    </row>
    <row r="653" ht="19.5" customHeight="1">
      <c r="A653" s="114"/>
      <c r="B653" s="120"/>
      <c r="C653" s="114"/>
      <c r="D653" s="114"/>
    </row>
    <row r="654" ht="19.5" customHeight="1">
      <c r="A654" s="114"/>
      <c r="B654" s="120"/>
      <c r="C654" s="114"/>
      <c r="D654" s="114"/>
    </row>
    <row r="655" ht="19.5" customHeight="1">
      <c r="A655" s="114"/>
      <c r="B655" s="120"/>
      <c r="C655" s="114"/>
      <c r="D655" s="114"/>
    </row>
    <row r="656" ht="19.5" customHeight="1">
      <c r="A656" s="114"/>
      <c r="B656" s="120"/>
      <c r="C656" s="114"/>
      <c r="D656" s="114"/>
    </row>
    <row r="657" ht="19.5" customHeight="1">
      <c r="A657" s="114"/>
      <c r="B657" s="120"/>
      <c r="C657" s="114"/>
      <c r="D657" s="114"/>
    </row>
    <row r="658" ht="19.5" customHeight="1">
      <c r="A658" s="114"/>
      <c r="B658" s="120"/>
      <c r="C658" s="114"/>
      <c r="D658" s="114"/>
    </row>
    <row r="659" ht="19.5" customHeight="1">
      <c r="A659" s="114"/>
      <c r="B659" s="120"/>
      <c r="C659" s="114"/>
      <c r="D659" s="114"/>
    </row>
    <row r="660" ht="19.5" customHeight="1">
      <c r="A660" s="114"/>
      <c r="B660" s="120"/>
      <c r="C660" s="114"/>
      <c r="D660" s="114"/>
    </row>
    <row r="661" ht="19.5" customHeight="1">
      <c r="A661" s="114"/>
      <c r="B661" s="120"/>
      <c r="C661" s="114"/>
      <c r="D661" s="114"/>
    </row>
    <row r="662" ht="19.5" customHeight="1">
      <c r="A662" s="114"/>
      <c r="B662" s="120"/>
      <c r="C662" s="114"/>
      <c r="D662" s="114"/>
    </row>
    <row r="663" ht="19.5" customHeight="1">
      <c r="A663" s="114"/>
      <c r="B663" s="120"/>
      <c r="C663" s="114"/>
      <c r="D663" s="114"/>
    </row>
    <row r="664" ht="19.5" customHeight="1">
      <c r="A664" s="114"/>
      <c r="B664" s="120"/>
      <c r="C664" s="114"/>
      <c r="D664" s="114"/>
    </row>
    <row r="665" ht="19.5" customHeight="1">
      <c r="A665" s="114"/>
      <c r="B665" s="120"/>
      <c r="C665" s="114"/>
      <c r="D665" s="114"/>
    </row>
    <row r="666" ht="19.5" customHeight="1">
      <c r="A666" s="114"/>
      <c r="B666" s="120"/>
      <c r="C666" s="114"/>
      <c r="D666" s="114"/>
    </row>
    <row r="667" ht="19.5" customHeight="1">
      <c r="A667" s="114"/>
      <c r="B667" s="120"/>
      <c r="C667" s="114"/>
      <c r="D667" s="114"/>
    </row>
    <row r="668" ht="19.5" customHeight="1">
      <c r="A668" s="114"/>
      <c r="B668" s="120"/>
      <c r="C668" s="114"/>
      <c r="D668" s="114"/>
    </row>
    <row r="669" ht="19.5" customHeight="1">
      <c r="A669" s="114"/>
      <c r="B669" s="120"/>
      <c r="C669" s="114"/>
      <c r="D669" s="114"/>
    </row>
    <row r="670" ht="19.5" customHeight="1">
      <c r="A670" s="114"/>
      <c r="B670" s="120"/>
      <c r="C670" s="114"/>
      <c r="D670" s="114"/>
    </row>
    <row r="671" ht="19.5" customHeight="1">
      <c r="A671" s="114"/>
      <c r="B671" s="120"/>
      <c r="C671" s="114"/>
      <c r="D671" s="114"/>
    </row>
    <row r="672" ht="19.5" customHeight="1">
      <c r="A672" s="114"/>
      <c r="B672" s="120"/>
      <c r="C672" s="114"/>
      <c r="D672" s="114"/>
    </row>
    <row r="673" ht="19.5" customHeight="1">
      <c r="A673" s="114"/>
      <c r="B673" s="120"/>
      <c r="C673" s="114"/>
      <c r="D673" s="114"/>
    </row>
    <row r="674" ht="19.5" customHeight="1">
      <c r="A674" s="114"/>
      <c r="B674" s="120"/>
      <c r="C674" s="114"/>
      <c r="D674" s="114"/>
    </row>
    <row r="675" ht="19.5" customHeight="1">
      <c r="A675" s="114"/>
      <c r="B675" s="120"/>
      <c r="C675" s="114"/>
      <c r="D675" s="114"/>
    </row>
    <row r="676" ht="19.5" customHeight="1">
      <c r="A676" s="114"/>
      <c r="B676" s="120"/>
      <c r="C676" s="114"/>
      <c r="D676" s="114"/>
    </row>
    <row r="677" ht="19.5" customHeight="1">
      <c r="A677" s="114"/>
      <c r="B677" s="120"/>
      <c r="C677" s="114"/>
      <c r="D677" s="114"/>
    </row>
    <row r="678" ht="19.5" customHeight="1">
      <c r="A678" s="114"/>
      <c r="B678" s="120"/>
      <c r="C678" s="114"/>
      <c r="D678" s="114"/>
    </row>
    <row r="679" ht="19.5" customHeight="1">
      <c r="A679" s="114"/>
      <c r="B679" s="120"/>
      <c r="C679" s="114"/>
      <c r="D679" s="114"/>
    </row>
    <row r="680" ht="19.5" customHeight="1">
      <c r="A680" s="114"/>
      <c r="B680" s="120"/>
      <c r="C680" s="114"/>
      <c r="D680" s="114"/>
    </row>
    <row r="681" ht="19.5" customHeight="1">
      <c r="A681" s="114"/>
      <c r="B681" s="120"/>
      <c r="C681" s="114"/>
      <c r="D681" s="114"/>
    </row>
    <row r="682" ht="19.5" customHeight="1">
      <c r="A682" s="114"/>
      <c r="B682" s="120"/>
      <c r="C682" s="114"/>
      <c r="D682" s="114"/>
    </row>
    <row r="683" ht="19.5" customHeight="1">
      <c r="A683" s="114"/>
      <c r="B683" s="120"/>
      <c r="C683" s="114"/>
      <c r="D683" s="114"/>
    </row>
    <row r="684" ht="19.5" customHeight="1">
      <c r="A684" s="114"/>
      <c r="B684" s="120"/>
      <c r="C684" s="114"/>
      <c r="D684" s="114"/>
    </row>
    <row r="685" ht="19.5" customHeight="1">
      <c r="A685" s="114"/>
      <c r="B685" s="120"/>
      <c r="C685" s="114"/>
      <c r="D685" s="114"/>
    </row>
    <row r="686" ht="19.5" customHeight="1">
      <c r="A686" s="114"/>
      <c r="B686" s="120"/>
      <c r="C686" s="114"/>
      <c r="D686" s="114"/>
    </row>
    <row r="687" ht="19.5" customHeight="1">
      <c r="A687" s="114"/>
      <c r="B687" s="120"/>
      <c r="C687" s="114"/>
      <c r="D687" s="114"/>
    </row>
    <row r="688" ht="19.5" customHeight="1">
      <c r="A688" s="114"/>
      <c r="B688" s="120"/>
      <c r="C688" s="114"/>
      <c r="D688" s="114"/>
    </row>
    <row r="689" ht="19.5" customHeight="1">
      <c r="A689" s="114"/>
      <c r="B689" s="120"/>
      <c r="C689" s="114"/>
      <c r="D689" s="114"/>
    </row>
    <row r="690" ht="19.5" customHeight="1">
      <c r="A690" s="114"/>
      <c r="B690" s="120"/>
      <c r="C690" s="114"/>
      <c r="D690" s="114"/>
    </row>
    <row r="691" ht="19.5" customHeight="1">
      <c r="A691" s="114"/>
      <c r="B691" s="120"/>
      <c r="C691" s="114"/>
      <c r="D691" s="114"/>
    </row>
    <row r="692" ht="19.5" customHeight="1">
      <c r="A692" s="114"/>
      <c r="B692" s="120"/>
      <c r="C692" s="114"/>
      <c r="D692" s="114"/>
    </row>
    <row r="693" ht="19.5" customHeight="1">
      <c r="A693" s="114"/>
      <c r="B693" s="120"/>
      <c r="C693" s="114"/>
      <c r="D693" s="114"/>
    </row>
    <row r="694" ht="19.5" customHeight="1">
      <c r="A694" s="114"/>
      <c r="B694" s="120"/>
      <c r="C694" s="114"/>
      <c r="D694" s="114"/>
    </row>
    <row r="695" ht="19.5" customHeight="1">
      <c r="A695" s="114"/>
      <c r="B695" s="120"/>
      <c r="C695" s="114"/>
      <c r="D695" s="114"/>
    </row>
    <row r="696" ht="19.5" customHeight="1">
      <c r="A696" s="114"/>
      <c r="B696" s="120"/>
      <c r="C696" s="114"/>
      <c r="D696" s="114"/>
    </row>
    <row r="697" ht="19.5" customHeight="1">
      <c r="A697" s="114"/>
      <c r="B697" s="120"/>
      <c r="C697" s="114"/>
      <c r="D697" s="114"/>
    </row>
    <row r="698" ht="19.5" customHeight="1">
      <c r="A698" s="114"/>
      <c r="B698" s="120"/>
      <c r="C698" s="114"/>
      <c r="D698" s="114"/>
    </row>
    <row r="699" ht="19.5" customHeight="1">
      <c r="A699" s="114"/>
      <c r="B699" s="120"/>
      <c r="C699" s="114"/>
      <c r="D699" s="114"/>
    </row>
    <row r="700" ht="19.5" customHeight="1">
      <c r="A700" s="114"/>
      <c r="B700" s="120"/>
      <c r="C700" s="114"/>
      <c r="D700" s="114"/>
    </row>
    <row r="701" ht="19.5" customHeight="1">
      <c r="A701" s="114"/>
      <c r="B701" s="120"/>
      <c r="C701" s="114"/>
      <c r="D701" s="114"/>
    </row>
    <row r="702" ht="19.5" customHeight="1">
      <c r="A702" s="114"/>
      <c r="B702" s="120"/>
      <c r="C702" s="114"/>
      <c r="D702" s="114"/>
    </row>
    <row r="703" ht="19.5" customHeight="1">
      <c r="A703" s="114"/>
      <c r="B703" s="120"/>
      <c r="C703" s="114"/>
      <c r="D703" s="114"/>
    </row>
    <row r="704" ht="19.5" customHeight="1">
      <c r="A704" s="114"/>
      <c r="B704" s="120"/>
      <c r="C704" s="114"/>
      <c r="D704" s="114"/>
    </row>
    <row r="705" ht="19.5" customHeight="1">
      <c r="A705" s="114"/>
      <c r="B705" s="120"/>
      <c r="C705" s="114"/>
      <c r="D705" s="114"/>
    </row>
    <row r="706" ht="19.5" customHeight="1">
      <c r="A706" s="114"/>
      <c r="B706" s="120"/>
      <c r="C706" s="114"/>
      <c r="D706" s="114"/>
    </row>
    <row r="707" ht="19.5" customHeight="1">
      <c r="A707" s="114"/>
      <c r="B707" s="120"/>
      <c r="C707" s="114"/>
      <c r="D707" s="114"/>
    </row>
    <row r="708" ht="19.5" customHeight="1">
      <c r="A708" s="114"/>
      <c r="B708" s="120"/>
      <c r="C708" s="114"/>
      <c r="D708" s="114"/>
    </row>
    <row r="709" ht="19.5" customHeight="1">
      <c r="A709" s="114"/>
      <c r="B709" s="120"/>
      <c r="C709" s="114"/>
      <c r="D709" s="114"/>
    </row>
    <row r="710" ht="19.5" customHeight="1">
      <c r="A710" s="114"/>
      <c r="B710" s="120"/>
      <c r="C710" s="114"/>
      <c r="D710" s="114"/>
    </row>
    <row r="711" ht="19.5" customHeight="1">
      <c r="A711" s="114"/>
      <c r="B711" s="120"/>
      <c r="C711" s="114"/>
      <c r="D711" s="114"/>
    </row>
    <row r="712" ht="19.5" customHeight="1">
      <c r="A712" s="114"/>
      <c r="B712" s="120"/>
      <c r="C712" s="114"/>
      <c r="D712" s="114"/>
    </row>
    <row r="713" ht="19.5" customHeight="1">
      <c r="A713" s="114"/>
      <c r="B713" s="120"/>
      <c r="C713" s="114"/>
      <c r="D713" s="114"/>
    </row>
    <row r="714" ht="19.5" customHeight="1">
      <c r="A714" s="114"/>
      <c r="B714" s="120"/>
      <c r="C714" s="114"/>
      <c r="D714" s="114"/>
    </row>
    <row r="715" ht="19.5" customHeight="1">
      <c r="A715" s="114"/>
      <c r="B715" s="120"/>
      <c r="C715" s="114"/>
      <c r="D715" s="114"/>
    </row>
    <row r="716" ht="19.5" customHeight="1">
      <c r="A716" s="114"/>
      <c r="B716" s="120"/>
      <c r="C716" s="114"/>
      <c r="D716" s="114"/>
    </row>
    <row r="717" ht="19.5" customHeight="1">
      <c r="A717" s="114"/>
      <c r="B717" s="120"/>
      <c r="C717" s="114"/>
      <c r="D717" s="114"/>
    </row>
    <row r="718" ht="19.5" customHeight="1">
      <c r="A718" s="114"/>
      <c r="B718" s="120"/>
      <c r="C718" s="114"/>
      <c r="D718" s="114"/>
    </row>
    <row r="719" ht="19.5" customHeight="1">
      <c r="A719" s="114"/>
      <c r="B719" s="120"/>
      <c r="C719" s="114"/>
      <c r="D719" s="114"/>
    </row>
    <row r="720" ht="19.5" customHeight="1">
      <c r="A720" s="114"/>
      <c r="B720" s="120"/>
      <c r="C720" s="114"/>
      <c r="D720" s="114"/>
    </row>
    <row r="721" ht="19.5" customHeight="1">
      <c r="A721" s="114"/>
      <c r="B721" s="120"/>
      <c r="C721" s="114"/>
      <c r="D721" s="114"/>
    </row>
    <row r="722" ht="19.5" customHeight="1">
      <c r="A722" s="114"/>
      <c r="B722" s="120"/>
      <c r="C722" s="114"/>
      <c r="D722" s="114"/>
    </row>
    <row r="723" ht="19.5" customHeight="1">
      <c r="A723" s="114"/>
      <c r="B723" s="120"/>
      <c r="C723" s="114"/>
      <c r="D723" s="114"/>
    </row>
    <row r="724" ht="19.5" customHeight="1">
      <c r="A724" s="114"/>
      <c r="B724" s="120"/>
      <c r="C724" s="114"/>
      <c r="D724" s="114"/>
    </row>
    <row r="725" ht="19.5" customHeight="1">
      <c r="A725" s="114"/>
      <c r="B725" s="120"/>
      <c r="C725" s="114"/>
      <c r="D725" s="114"/>
    </row>
    <row r="726" ht="19.5" customHeight="1">
      <c r="A726" s="114"/>
      <c r="B726" s="120"/>
      <c r="C726" s="114"/>
      <c r="D726" s="114"/>
    </row>
    <row r="727" ht="19.5" customHeight="1">
      <c r="A727" s="114"/>
      <c r="B727" s="120"/>
      <c r="C727" s="114"/>
      <c r="D727" s="114"/>
    </row>
    <row r="728" ht="19.5" customHeight="1">
      <c r="A728" s="114"/>
      <c r="B728" s="120"/>
      <c r="C728" s="114"/>
      <c r="D728" s="114"/>
    </row>
    <row r="729" ht="19.5" customHeight="1">
      <c r="A729" s="114"/>
      <c r="B729" s="120"/>
      <c r="C729" s="114"/>
      <c r="D729" s="114"/>
    </row>
    <row r="730" ht="19.5" customHeight="1">
      <c r="A730" s="114"/>
      <c r="B730" s="120"/>
      <c r="C730" s="114"/>
      <c r="D730" s="114"/>
    </row>
    <row r="731" ht="19.5" customHeight="1">
      <c r="A731" s="114"/>
      <c r="B731" s="120"/>
      <c r="C731" s="114"/>
      <c r="D731" s="114"/>
    </row>
    <row r="732" ht="19.5" customHeight="1">
      <c r="A732" s="114"/>
      <c r="B732" s="120"/>
      <c r="C732" s="114"/>
      <c r="D732" s="114"/>
    </row>
    <row r="733" ht="19.5" customHeight="1">
      <c r="A733" s="114"/>
      <c r="B733" s="120"/>
      <c r="C733" s="114"/>
      <c r="D733" s="114"/>
    </row>
    <row r="734" ht="19.5" customHeight="1">
      <c r="A734" s="114"/>
      <c r="B734" s="120"/>
      <c r="C734" s="114"/>
      <c r="D734" s="114"/>
    </row>
    <row r="735" ht="19.5" customHeight="1">
      <c r="A735" s="114"/>
      <c r="B735" s="120"/>
      <c r="C735" s="114"/>
      <c r="D735" s="114"/>
    </row>
    <row r="736" ht="19.5" customHeight="1">
      <c r="A736" s="114"/>
      <c r="B736" s="120"/>
      <c r="C736" s="114"/>
      <c r="D736" s="114"/>
    </row>
    <row r="737" ht="19.5" customHeight="1">
      <c r="A737" s="114"/>
      <c r="B737" s="120"/>
      <c r="C737" s="114"/>
      <c r="D737" s="114"/>
    </row>
    <row r="738" ht="19.5" customHeight="1">
      <c r="A738" s="114"/>
      <c r="B738" s="120"/>
      <c r="C738" s="114"/>
      <c r="D738" s="114"/>
    </row>
    <row r="739" ht="19.5" customHeight="1">
      <c r="A739" s="114"/>
      <c r="B739" s="120"/>
      <c r="C739" s="114"/>
      <c r="D739" s="114"/>
    </row>
    <row r="740" ht="19.5" customHeight="1">
      <c r="A740" s="114"/>
      <c r="B740" s="120"/>
      <c r="C740" s="114"/>
      <c r="D740" s="114"/>
    </row>
    <row r="741" ht="19.5" customHeight="1">
      <c r="A741" s="114"/>
      <c r="B741" s="120"/>
      <c r="C741" s="114"/>
      <c r="D741" s="114"/>
    </row>
    <row r="742" ht="19.5" customHeight="1">
      <c r="A742" s="114"/>
      <c r="B742" s="120"/>
      <c r="C742" s="114"/>
      <c r="D742" s="114"/>
    </row>
    <row r="743" ht="19.5" customHeight="1">
      <c r="A743" s="114"/>
      <c r="B743" s="120"/>
      <c r="C743" s="114"/>
      <c r="D743" s="114"/>
    </row>
    <row r="744" ht="19.5" customHeight="1">
      <c r="A744" s="114"/>
      <c r="B744" s="120"/>
      <c r="C744" s="114"/>
      <c r="D744" s="114"/>
    </row>
    <row r="745" ht="19.5" customHeight="1">
      <c r="A745" s="114"/>
      <c r="B745" s="120"/>
      <c r="C745" s="114"/>
      <c r="D745" s="114"/>
    </row>
    <row r="746" ht="19.5" customHeight="1">
      <c r="A746" s="114"/>
      <c r="B746" s="120"/>
      <c r="C746" s="114"/>
      <c r="D746" s="114"/>
    </row>
    <row r="747" ht="19.5" customHeight="1">
      <c r="A747" s="114"/>
      <c r="B747" s="120"/>
      <c r="C747" s="114"/>
      <c r="D747" s="114"/>
    </row>
    <row r="748" ht="19.5" customHeight="1">
      <c r="A748" s="114"/>
      <c r="B748" s="120"/>
      <c r="C748" s="114"/>
      <c r="D748" s="114"/>
    </row>
    <row r="749" ht="19.5" customHeight="1">
      <c r="A749" s="114"/>
      <c r="B749" s="120"/>
      <c r="C749" s="114"/>
      <c r="D749" s="114"/>
    </row>
    <row r="750" ht="19.5" customHeight="1">
      <c r="A750" s="114"/>
      <c r="B750" s="120"/>
      <c r="C750" s="114"/>
      <c r="D750" s="114"/>
    </row>
    <row r="751" ht="19.5" customHeight="1">
      <c r="A751" s="114"/>
      <c r="B751" s="120"/>
      <c r="C751" s="114"/>
      <c r="D751" s="114"/>
    </row>
    <row r="752" ht="19.5" customHeight="1">
      <c r="A752" s="114"/>
      <c r="B752" s="120"/>
      <c r="C752" s="114"/>
      <c r="D752" s="114"/>
    </row>
    <row r="753" ht="19.5" customHeight="1">
      <c r="A753" s="114"/>
      <c r="B753" s="120"/>
      <c r="C753" s="114"/>
      <c r="D753" s="114"/>
    </row>
    <row r="754" ht="19.5" customHeight="1">
      <c r="A754" s="114"/>
      <c r="B754" s="120"/>
      <c r="C754" s="114"/>
      <c r="D754" s="114"/>
    </row>
    <row r="755" ht="19.5" customHeight="1">
      <c r="A755" s="114"/>
      <c r="B755" s="120"/>
      <c r="C755" s="114"/>
      <c r="D755" s="114"/>
    </row>
    <row r="756" ht="19.5" customHeight="1">
      <c r="A756" s="114"/>
      <c r="B756" s="120"/>
      <c r="C756" s="114"/>
      <c r="D756" s="114"/>
    </row>
    <row r="757" ht="19.5" customHeight="1">
      <c r="A757" s="114"/>
      <c r="B757" s="120"/>
      <c r="C757" s="114"/>
      <c r="D757" s="114"/>
    </row>
    <row r="758" ht="19.5" customHeight="1">
      <c r="A758" s="114"/>
      <c r="B758" s="120"/>
      <c r="C758" s="114"/>
      <c r="D758" s="114"/>
    </row>
    <row r="759" ht="19.5" customHeight="1">
      <c r="A759" s="114"/>
      <c r="B759" s="120"/>
      <c r="C759" s="114"/>
      <c r="D759" s="114"/>
    </row>
    <row r="760" ht="19.5" customHeight="1">
      <c r="A760" s="114"/>
      <c r="B760" s="120"/>
      <c r="C760" s="114"/>
      <c r="D760" s="114"/>
    </row>
    <row r="761" ht="19.5" customHeight="1">
      <c r="A761" s="114"/>
      <c r="B761" s="120"/>
      <c r="C761" s="114"/>
      <c r="D761" s="114"/>
    </row>
    <row r="762" ht="19.5" customHeight="1">
      <c r="A762" s="114"/>
      <c r="B762" s="120"/>
      <c r="C762" s="114"/>
      <c r="D762" s="114"/>
    </row>
    <row r="763" ht="19.5" customHeight="1">
      <c r="A763" s="114"/>
      <c r="B763" s="120"/>
      <c r="C763" s="114"/>
      <c r="D763" s="114"/>
    </row>
    <row r="764" ht="19.5" customHeight="1">
      <c r="A764" s="114"/>
      <c r="B764" s="120"/>
      <c r="C764" s="114"/>
      <c r="D764" s="114"/>
    </row>
    <row r="765" ht="19.5" customHeight="1">
      <c r="A765" s="114"/>
      <c r="B765" s="120"/>
      <c r="C765" s="114"/>
      <c r="D765" s="114"/>
    </row>
    <row r="766" ht="19.5" customHeight="1">
      <c r="A766" s="114"/>
      <c r="B766" s="120"/>
      <c r="C766" s="114"/>
      <c r="D766" s="114"/>
    </row>
    <row r="767" ht="19.5" customHeight="1">
      <c r="A767" s="114"/>
      <c r="B767" s="120"/>
      <c r="C767" s="114"/>
      <c r="D767" s="114"/>
    </row>
    <row r="768" ht="19.5" customHeight="1">
      <c r="A768" s="114"/>
      <c r="B768" s="120"/>
      <c r="C768" s="114"/>
      <c r="D768" s="114"/>
    </row>
    <row r="769" ht="19.5" customHeight="1">
      <c r="A769" s="114"/>
      <c r="B769" s="120"/>
      <c r="C769" s="114"/>
      <c r="D769" s="114"/>
    </row>
    <row r="770" ht="19.5" customHeight="1">
      <c r="A770" s="114"/>
      <c r="B770" s="120"/>
      <c r="C770" s="114"/>
      <c r="D770" s="114"/>
    </row>
    <row r="771" ht="19.5" customHeight="1">
      <c r="A771" s="114"/>
      <c r="B771" s="120"/>
      <c r="C771" s="114"/>
      <c r="D771" s="114"/>
    </row>
    <row r="772" ht="19.5" customHeight="1">
      <c r="A772" s="114"/>
      <c r="B772" s="120"/>
      <c r="C772" s="114"/>
      <c r="D772" s="114"/>
    </row>
    <row r="773" ht="19.5" customHeight="1">
      <c r="A773" s="114"/>
      <c r="B773" s="120"/>
      <c r="C773" s="114"/>
      <c r="D773" s="114"/>
    </row>
    <row r="774" ht="19.5" customHeight="1">
      <c r="A774" s="114"/>
      <c r="B774" s="120"/>
      <c r="C774" s="114"/>
      <c r="D774" s="114"/>
    </row>
    <row r="775" ht="19.5" customHeight="1">
      <c r="A775" s="114"/>
      <c r="B775" s="120"/>
      <c r="C775" s="114"/>
      <c r="D775" s="114"/>
    </row>
    <row r="776" ht="19.5" customHeight="1">
      <c r="A776" s="114"/>
      <c r="B776" s="120"/>
      <c r="C776" s="114"/>
      <c r="D776" s="114"/>
    </row>
    <row r="777" ht="19.5" customHeight="1">
      <c r="A777" s="114"/>
      <c r="B777" s="120"/>
      <c r="C777" s="114"/>
      <c r="D777" s="114"/>
    </row>
    <row r="778" ht="19.5" customHeight="1">
      <c r="A778" s="114"/>
      <c r="B778" s="120"/>
      <c r="C778" s="114"/>
      <c r="D778" s="114"/>
    </row>
    <row r="779" ht="19.5" customHeight="1">
      <c r="A779" s="114"/>
      <c r="B779" s="120"/>
      <c r="C779" s="114"/>
      <c r="D779" s="114"/>
    </row>
    <row r="780" ht="19.5" customHeight="1">
      <c r="A780" s="114"/>
      <c r="B780" s="120"/>
      <c r="C780" s="114"/>
      <c r="D780" s="114"/>
    </row>
    <row r="781" ht="19.5" customHeight="1">
      <c r="A781" s="114"/>
      <c r="B781" s="120"/>
      <c r="C781" s="114"/>
      <c r="D781" s="114"/>
    </row>
    <row r="782" ht="19.5" customHeight="1">
      <c r="A782" s="114"/>
      <c r="B782" s="120"/>
      <c r="C782" s="114"/>
      <c r="D782" s="114"/>
    </row>
    <row r="783" ht="19.5" customHeight="1">
      <c r="A783" s="114"/>
      <c r="B783" s="120"/>
      <c r="C783" s="114"/>
      <c r="D783" s="114"/>
    </row>
    <row r="784" ht="19.5" customHeight="1">
      <c r="A784" s="114"/>
      <c r="B784" s="120"/>
      <c r="C784" s="114"/>
      <c r="D784" s="114"/>
    </row>
    <row r="785" ht="19.5" customHeight="1">
      <c r="A785" s="114"/>
      <c r="B785" s="120"/>
      <c r="C785" s="114"/>
      <c r="D785" s="114"/>
    </row>
    <row r="786" ht="19.5" customHeight="1">
      <c r="A786" s="114"/>
      <c r="B786" s="120"/>
      <c r="C786" s="114"/>
      <c r="D786" s="114"/>
    </row>
    <row r="787" ht="19.5" customHeight="1">
      <c r="A787" s="114"/>
      <c r="B787" s="120"/>
      <c r="C787" s="114"/>
      <c r="D787" s="114"/>
    </row>
    <row r="788" ht="19.5" customHeight="1">
      <c r="A788" s="114"/>
      <c r="B788" s="120"/>
      <c r="C788" s="114"/>
      <c r="D788" s="114"/>
    </row>
    <row r="789" ht="19.5" customHeight="1">
      <c r="A789" s="114"/>
      <c r="B789" s="120"/>
      <c r="C789" s="114"/>
      <c r="D789" s="114"/>
    </row>
    <row r="790" ht="19.5" customHeight="1">
      <c r="A790" s="114"/>
      <c r="B790" s="120"/>
      <c r="C790" s="114"/>
      <c r="D790" s="114"/>
    </row>
    <row r="791" ht="19.5" customHeight="1">
      <c r="A791" s="114"/>
      <c r="B791" s="120"/>
      <c r="C791" s="114"/>
      <c r="D791" s="114"/>
    </row>
    <row r="792" ht="19.5" customHeight="1">
      <c r="A792" s="114"/>
      <c r="B792" s="120"/>
      <c r="C792" s="114"/>
      <c r="D792" s="114"/>
    </row>
    <row r="793" ht="19.5" customHeight="1">
      <c r="A793" s="114"/>
      <c r="B793" s="120"/>
      <c r="C793" s="114"/>
      <c r="D793" s="114"/>
    </row>
    <row r="794" ht="19.5" customHeight="1">
      <c r="A794" s="114"/>
      <c r="B794" s="120"/>
      <c r="C794" s="114"/>
      <c r="D794" s="114"/>
    </row>
    <row r="795" ht="19.5" customHeight="1">
      <c r="A795" s="114"/>
      <c r="B795" s="120"/>
      <c r="C795" s="114"/>
      <c r="D795" s="114"/>
    </row>
    <row r="796" ht="19.5" customHeight="1">
      <c r="A796" s="114"/>
      <c r="B796" s="120"/>
      <c r="C796" s="114"/>
      <c r="D796" s="114"/>
    </row>
    <row r="797" ht="19.5" customHeight="1">
      <c r="A797" s="114"/>
      <c r="B797" s="120"/>
      <c r="C797" s="114"/>
      <c r="D797" s="114"/>
    </row>
    <row r="798" ht="19.5" customHeight="1">
      <c r="A798" s="114"/>
      <c r="B798" s="120"/>
      <c r="C798" s="114"/>
      <c r="D798" s="114"/>
    </row>
    <row r="799" ht="19.5" customHeight="1">
      <c r="A799" s="114"/>
      <c r="B799" s="120"/>
      <c r="C799" s="114"/>
      <c r="D799" s="114"/>
    </row>
    <row r="800" ht="19.5" customHeight="1">
      <c r="A800" s="114"/>
      <c r="B800" s="120"/>
      <c r="C800" s="114"/>
      <c r="D800" s="114"/>
    </row>
    <row r="801" ht="19.5" customHeight="1">
      <c r="A801" s="114"/>
      <c r="B801" s="120"/>
      <c r="C801" s="114"/>
      <c r="D801" s="114"/>
    </row>
    <row r="802" ht="19.5" customHeight="1">
      <c r="A802" s="114"/>
      <c r="B802" s="120"/>
      <c r="C802" s="114"/>
      <c r="D802" s="114"/>
    </row>
    <row r="803" ht="19.5" customHeight="1">
      <c r="A803" s="114"/>
      <c r="B803" s="120"/>
      <c r="C803" s="114"/>
      <c r="D803" s="114"/>
    </row>
    <row r="804" ht="19.5" customHeight="1">
      <c r="A804" s="114"/>
      <c r="B804" s="120"/>
      <c r="C804" s="114"/>
      <c r="D804" s="114"/>
    </row>
    <row r="805" ht="19.5" customHeight="1">
      <c r="A805" s="114"/>
      <c r="B805" s="120"/>
      <c r="C805" s="114"/>
      <c r="D805" s="114"/>
    </row>
    <row r="806" ht="19.5" customHeight="1">
      <c r="A806" s="114"/>
      <c r="B806" s="120"/>
      <c r="C806" s="114"/>
      <c r="D806" s="114"/>
    </row>
    <row r="807" ht="19.5" customHeight="1">
      <c r="A807" s="114"/>
      <c r="B807" s="120"/>
      <c r="C807" s="114"/>
      <c r="D807" s="114"/>
    </row>
    <row r="808" ht="19.5" customHeight="1">
      <c r="A808" s="114"/>
      <c r="B808" s="120"/>
      <c r="C808" s="114"/>
      <c r="D808" s="114"/>
    </row>
    <row r="809" ht="19.5" customHeight="1">
      <c r="A809" s="114"/>
      <c r="B809" s="120"/>
      <c r="C809" s="114"/>
      <c r="D809" s="114"/>
    </row>
    <row r="810" ht="19.5" customHeight="1">
      <c r="A810" s="114"/>
      <c r="B810" s="120"/>
      <c r="C810" s="114"/>
      <c r="D810" s="114"/>
    </row>
    <row r="811" ht="19.5" customHeight="1">
      <c r="A811" s="114"/>
      <c r="B811" s="120"/>
      <c r="C811" s="114"/>
      <c r="D811" s="114"/>
    </row>
    <row r="812" ht="19.5" customHeight="1">
      <c r="A812" s="114"/>
      <c r="B812" s="120"/>
      <c r="C812" s="114"/>
      <c r="D812" s="114"/>
    </row>
    <row r="813" ht="19.5" customHeight="1">
      <c r="A813" s="114"/>
      <c r="B813" s="120"/>
      <c r="C813" s="114"/>
      <c r="D813" s="114"/>
    </row>
    <row r="814" ht="19.5" customHeight="1">
      <c r="A814" s="114"/>
      <c r="B814" s="120"/>
      <c r="C814" s="114"/>
      <c r="D814" s="114"/>
    </row>
    <row r="815" ht="19.5" customHeight="1">
      <c r="A815" s="114"/>
      <c r="B815" s="120"/>
      <c r="C815" s="114"/>
      <c r="D815" s="114"/>
    </row>
    <row r="816" ht="19.5" customHeight="1">
      <c r="A816" s="114"/>
      <c r="B816" s="120"/>
      <c r="C816" s="114"/>
      <c r="D816" s="114"/>
    </row>
    <row r="817" ht="19.5" customHeight="1">
      <c r="A817" s="114"/>
      <c r="B817" s="120"/>
      <c r="C817" s="114"/>
      <c r="D817" s="114"/>
    </row>
    <row r="818" ht="19.5" customHeight="1">
      <c r="A818" s="114"/>
      <c r="B818" s="120"/>
      <c r="C818" s="114"/>
      <c r="D818" s="114"/>
    </row>
    <row r="819" ht="19.5" customHeight="1">
      <c r="A819" s="114"/>
      <c r="B819" s="120"/>
      <c r="C819" s="114"/>
      <c r="D819" s="114"/>
    </row>
    <row r="820" ht="19.5" customHeight="1">
      <c r="A820" s="114"/>
      <c r="B820" s="120"/>
      <c r="C820" s="114"/>
      <c r="D820" s="114"/>
    </row>
    <row r="821" ht="19.5" customHeight="1">
      <c r="A821" s="114"/>
      <c r="B821" s="120"/>
      <c r="C821" s="114"/>
      <c r="D821" s="114"/>
    </row>
    <row r="822" ht="19.5" customHeight="1">
      <c r="A822" s="114"/>
      <c r="B822" s="120"/>
      <c r="C822" s="114"/>
      <c r="D822" s="114"/>
    </row>
    <row r="823" ht="19.5" customHeight="1">
      <c r="A823" s="114"/>
      <c r="B823" s="120"/>
      <c r="C823" s="114"/>
      <c r="D823" s="114"/>
    </row>
    <row r="824" ht="19.5" customHeight="1">
      <c r="A824" s="114"/>
      <c r="B824" s="120"/>
      <c r="C824" s="114"/>
      <c r="D824" s="114"/>
    </row>
    <row r="825" ht="19.5" customHeight="1">
      <c r="A825" s="114"/>
      <c r="B825" s="120"/>
      <c r="C825" s="114"/>
      <c r="D825" s="114"/>
    </row>
    <row r="826" ht="19.5" customHeight="1">
      <c r="A826" s="114"/>
      <c r="B826" s="120"/>
      <c r="C826" s="114"/>
      <c r="D826" s="114"/>
    </row>
    <row r="827" ht="19.5" customHeight="1">
      <c r="A827" s="114"/>
      <c r="B827" s="120"/>
      <c r="C827" s="114"/>
      <c r="D827" s="114"/>
    </row>
    <row r="828" ht="19.5" customHeight="1">
      <c r="A828" s="114"/>
      <c r="B828" s="120"/>
      <c r="C828" s="114"/>
      <c r="D828" s="114"/>
    </row>
    <row r="829" ht="19.5" customHeight="1">
      <c r="A829" s="114"/>
      <c r="B829" s="120"/>
      <c r="C829" s="114"/>
      <c r="D829" s="114"/>
    </row>
    <row r="830" ht="19.5" customHeight="1">
      <c r="A830" s="114"/>
      <c r="B830" s="120"/>
      <c r="C830" s="114"/>
      <c r="D830" s="114"/>
    </row>
    <row r="831" ht="19.5" customHeight="1">
      <c r="A831" s="114"/>
      <c r="B831" s="120"/>
      <c r="C831" s="114"/>
      <c r="D831" s="114"/>
    </row>
    <row r="832" ht="19.5" customHeight="1">
      <c r="A832" s="114"/>
      <c r="B832" s="120"/>
      <c r="C832" s="114"/>
      <c r="D832" s="114"/>
    </row>
    <row r="833" ht="19.5" customHeight="1">
      <c r="A833" s="114"/>
      <c r="B833" s="120"/>
      <c r="C833" s="114"/>
      <c r="D833" s="114"/>
    </row>
    <row r="834" ht="19.5" customHeight="1">
      <c r="A834" s="114"/>
      <c r="B834" s="120"/>
      <c r="C834" s="114"/>
      <c r="D834" s="114"/>
    </row>
    <row r="835" ht="19.5" customHeight="1">
      <c r="A835" s="114"/>
      <c r="B835" s="120"/>
      <c r="C835" s="114"/>
      <c r="D835" s="114"/>
    </row>
    <row r="836" ht="19.5" customHeight="1">
      <c r="A836" s="114"/>
      <c r="B836" s="120"/>
      <c r="C836" s="114"/>
      <c r="D836" s="114"/>
    </row>
    <row r="837" ht="19.5" customHeight="1">
      <c r="A837" s="114"/>
      <c r="B837" s="120"/>
      <c r="C837" s="114"/>
      <c r="D837" s="114"/>
    </row>
    <row r="838" ht="19.5" customHeight="1">
      <c r="A838" s="114"/>
      <c r="B838" s="120"/>
      <c r="C838" s="114"/>
      <c r="D838" s="114"/>
    </row>
    <row r="839" ht="19.5" customHeight="1">
      <c r="A839" s="114"/>
      <c r="B839" s="120"/>
      <c r="C839" s="114"/>
      <c r="D839" s="114"/>
    </row>
    <row r="840" ht="19.5" customHeight="1">
      <c r="A840" s="114"/>
      <c r="B840" s="120"/>
      <c r="C840" s="114"/>
      <c r="D840" s="114"/>
    </row>
    <row r="841" ht="19.5" customHeight="1">
      <c r="A841" s="114"/>
      <c r="B841" s="120"/>
      <c r="C841" s="114"/>
      <c r="D841" s="114"/>
    </row>
    <row r="842" ht="19.5" customHeight="1">
      <c r="A842" s="114"/>
      <c r="B842" s="120"/>
      <c r="C842" s="114"/>
      <c r="D842" s="114"/>
    </row>
    <row r="843" ht="19.5" customHeight="1">
      <c r="A843" s="114"/>
      <c r="B843" s="120"/>
      <c r="C843" s="114"/>
      <c r="D843" s="114"/>
    </row>
    <row r="844" ht="19.5" customHeight="1">
      <c r="A844" s="114"/>
      <c r="B844" s="120"/>
      <c r="C844" s="114"/>
      <c r="D844" s="114"/>
    </row>
    <row r="845" ht="19.5" customHeight="1">
      <c r="A845" s="114"/>
      <c r="B845" s="120"/>
      <c r="C845" s="114"/>
      <c r="D845" s="114"/>
    </row>
    <row r="846" ht="19.5" customHeight="1">
      <c r="A846" s="114"/>
      <c r="B846" s="120"/>
      <c r="C846" s="114"/>
      <c r="D846" s="114"/>
    </row>
    <row r="847" ht="19.5" customHeight="1">
      <c r="A847" s="114"/>
      <c r="B847" s="120"/>
      <c r="C847" s="114"/>
      <c r="D847" s="114"/>
    </row>
    <row r="848" ht="19.5" customHeight="1">
      <c r="A848" s="114"/>
      <c r="B848" s="120"/>
      <c r="C848" s="114"/>
      <c r="D848" s="114"/>
    </row>
    <row r="849" ht="19.5" customHeight="1">
      <c r="A849" s="114"/>
      <c r="B849" s="120"/>
      <c r="C849" s="114"/>
      <c r="D849" s="114"/>
    </row>
    <row r="850" ht="19.5" customHeight="1">
      <c r="A850" s="114"/>
      <c r="B850" s="120"/>
      <c r="C850" s="114"/>
      <c r="D850" s="114"/>
    </row>
    <row r="851" ht="19.5" customHeight="1">
      <c r="A851" s="114"/>
      <c r="B851" s="120"/>
      <c r="C851" s="114"/>
      <c r="D851" s="114"/>
    </row>
    <row r="852" ht="19.5" customHeight="1">
      <c r="A852" s="114"/>
      <c r="B852" s="120"/>
      <c r="C852" s="114"/>
      <c r="D852" s="114"/>
    </row>
    <row r="853" ht="19.5" customHeight="1">
      <c r="A853" s="114"/>
      <c r="B853" s="120"/>
      <c r="C853" s="114"/>
      <c r="D853" s="114"/>
    </row>
    <row r="854" ht="19.5" customHeight="1">
      <c r="A854" s="114"/>
      <c r="B854" s="120"/>
      <c r="C854" s="114"/>
      <c r="D854" s="114"/>
    </row>
    <row r="855" ht="19.5" customHeight="1">
      <c r="A855" s="114"/>
      <c r="B855" s="120"/>
      <c r="C855" s="114"/>
      <c r="D855" s="114"/>
    </row>
    <row r="856" ht="19.5" customHeight="1">
      <c r="A856" s="114"/>
      <c r="B856" s="120"/>
      <c r="C856" s="114"/>
      <c r="D856" s="114"/>
    </row>
    <row r="857" ht="19.5" customHeight="1">
      <c r="A857" s="114"/>
      <c r="B857" s="120"/>
      <c r="C857" s="114"/>
      <c r="D857" s="114"/>
    </row>
    <row r="858" ht="19.5" customHeight="1">
      <c r="A858" s="114"/>
      <c r="B858" s="120"/>
      <c r="C858" s="114"/>
      <c r="D858" s="114"/>
    </row>
    <row r="859" ht="19.5" customHeight="1">
      <c r="A859" s="114"/>
      <c r="B859" s="120"/>
      <c r="C859" s="114"/>
      <c r="D859" s="114"/>
    </row>
    <row r="860" ht="19.5" customHeight="1">
      <c r="A860" s="114"/>
      <c r="B860" s="120"/>
      <c r="C860" s="114"/>
      <c r="D860" s="114"/>
    </row>
    <row r="861" ht="19.5" customHeight="1">
      <c r="A861" s="114"/>
      <c r="B861" s="120"/>
      <c r="C861" s="114"/>
      <c r="D861" s="114"/>
    </row>
    <row r="862" ht="19.5" customHeight="1">
      <c r="A862" s="114"/>
      <c r="B862" s="120"/>
      <c r="C862" s="114"/>
      <c r="D862" s="114"/>
    </row>
    <row r="863" ht="19.5" customHeight="1">
      <c r="A863" s="114"/>
      <c r="B863" s="120"/>
      <c r="C863" s="114"/>
      <c r="D863" s="114"/>
    </row>
    <row r="864" ht="19.5" customHeight="1">
      <c r="A864" s="114"/>
      <c r="B864" s="120"/>
      <c r="C864" s="114"/>
      <c r="D864" s="114"/>
    </row>
    <row r="865" ht="19.5" customHeight="1">
      <c r="A865" s="114"/>
      <c r="B865" s="120"/>
      <c r="C865" s="114"/>
      <c r="D865" s="114"/>
    </row>
    <row r="866" ht="19.5" customHeight="1">
      <c r="A866" s="114"/>
      <c r="B866" s="120"/>
      <c r="C866" s="114"/>
      <c r="D866" s="114"/>
    </row>
    <row r="867" ht="19.5" customHeight="1">
      <c r="A867" s="114"/>
      <c r="B867" s="120"/>
      <c r="C867" s="114"/>
      <c r="D867" s="114"/>
    </row>
    <row r="868" ht="19.5" customHeight="1">
      <c r="A868" s="114"/>
      <c r="B868" s="120"/>
      <c r="C868" s="114"/>
      <c r="D868" s="114"/>
    </row>
    <row r="869" ht="19.5" customHeight="1">
      <c r="A869" s="114"/>
      <c r="B869" s="120"/>
      <c r="C869" s="114"/>
      <c r="D869" s="114"/>
    </row>
    <row r="870" ht="19.5" customHeight="1">
      <c r="A870" s="114"/>
      <c r="B870" s="120"/>
      <c r="C870" s="114"/>
      <c r="D870" s="114"/>
    </row>
    <row r="871" ht="19.5" customHeight="1">
      <c r="A871" s="114"/>
      <c r="B871" s="120"/>
      <c r="C871" s="114"/>
      <c r="D871" s="114"/>
    </row>
    <row r="872" ht="19.5" customHeight="1">
      <c r="A872" s="114"/>
      <c r="B872" s="120"/>
      <c r="C872" s="114"/>
      <c r="D872" s="114"/>
    </row>
    <row r="873" ht="19.5" customHeight="1">
      <c r="A873" s="114"/>
      <c r="B873" s="120"/>
      <c r="C873" s="114"/>
      <c r="D873" s="114"/>
    </row>
    <row r="874" ht="19.5" customHeight="1">
      <c r="A874" s="114"/>
      <c r="B874" s="120"/>
      <c r="C874" s="114"/>
      <c r="D874" s="114"/>
    </row>
    <row r="875" ht="19.5" customHeight="1">
      <c r="A875" s="114"/>
      <c r="B875" s="120"/>
      <c r="C875" s="114"/>
      <c r="D875" s="114"/>
    </row>
    <row r="876" ht="19.5" customHeight="1">
      <c r="A876" s="114"/>
      <c r="B876" s="120"/>
      <c r="C876" s="114"/>
      <c r="D876" s="114"/>
    </row>
    <row r="877" ht="19.5" customHeight="1">
      <c r="A877" s="114"/>
      <c r="B877" s="120"/>
      <c r="C877" s="114"/>
      <c r="D877" s="114"/>
    </row>
    <row r="878" ht="19.5" customHeight="1">
      <c r="A878" s="114"/>
      <c r="B878" s="120"/>
      <c r="C878" s="114"/>
      <c r="D878" s="114"/>
    </row>
    <row r="879" ht="19.5" customHeight="1">
      <c r="A879" s="114"/>
      <c r="B879" s="120"/>
      <c r="C879" s="114"/>
      <c r="D879" s="114"/>
    </row>
    <row r="880" ht="19.5" customHeight="1">
      <c r="A880" s="114"/>
      <c r="B880" s="120"/>
      <c r="C880" s="114"/>
      <c r="D880" s="114"/>
    </row>
    <row r="881" ht="19.5" customHeight="1">
      <c r="A881" s="114"/>
      <c r="B881" s="120"/>
      <c r="C881" s="114"/>
      <c r="D881" s="114"/>
    </row>
    <row r="882" ht="19.5" customHeight="1">
      <c r="A882" s="114"/>
      <c r="B882" s="120"/>
      <c r="C882" s="114"/>
      <c r="D882" s="114"/>
    </row>
    <row r="883" ht="19.5" customHeight="1">
      <c r="A883" s="114"/>
      <c r="B883" s="120"/>
      <c r="C883" s="114"/>
      <c r="D883" s="114"/>
    </row>
    <row r="884" ht="19.5" customHeight="1">
      <c r="A884" s="114"/>
      <c r="B884" s="120"/>
      <c r="C884" s="114"/>
      <c r="D884" s="114"/>
    </row>
    <row r="885" ht="19.5" customHeight="1">
      <c r="A885" s="114"/>
      <c r="B885" s="120"/>
      <c r="C885" s="114"/>
      <c r="D885" s="114"/>
    </row>
    <row r="886" ht="19.5" customHeight="1">
      <c r="A886" s="114"/>
      <c r="B886" s="120"/>
      <c r="C886" s="114"/>
      <c r="D886" s="114"/>
    </row>
    <row r="887" ht="19.5" customHeight="1">
      <c r="A887" s="114"/>
      <c r="B887" s="120"/>
      <c r="C887" s="114"/>
      <c r="D887" s="114"/>
    </row>
    <row r="888" ht="19.5" customHeight="1">
      <c r="A888" s="114"/>
      <c r="B888" s="120"/>
      <c r="C888" s="114"/>
      <c r="D888" s="114"/>
    </row>
    <row r="889" ht="19.5" customHeight="1">
      <c r="A889" s="114"/>
      <c r="B889" s="120"/>
      <c r="C889" s="114"/>
      <c r="D889" s="114"/>
    </row>
    <row r="890" ht="19.5" customHeight="1">
      <c r="A890" s="114"/>
      <c r="B890" s="120"/>
      <c r="C890" s="114"/>
      <c r="D890" s="114"/>
    </row>
    <row r="891" ht="19.5" customHeight="1">
      <c r="A891" s="114"/>
      <c r="B891" s="120"/>
      <c r="C891" s="114"/>
      <c r="D891" s="114"/>
    </row>
    <row r="892" ht="19.5" customHeight="1">
      <c r="A892" s="114"/>
      <c r="B892" s="120"/>
      <c r="C892" s="114"/>
      <c r="D892" s="114"/>
    </row>
    <row r="893" ht="19.5" customHeight="1">
      <c r="A893" s="114"/>
      <c r="B893" s="120"/>
      <c r="C893" s="114"/>
      <c r="D893" s="114"/>
    </row>
    <row r="894" ht="19.5" customHeight="1">
      <c r="A894" s="114"/>
      <c r="B894" s="120"/>
      <c r="C894" s="114"/>
      <c r="D894" s="114"/>
    </row>
    <row r="895" ht="19.5" customHeight="1">
      <c r="A895" s="114"/>
      <c r="B895" s="120"/>
      <c r="C895" s="114"/>
      <c r="D895" s="114"/>
    </row>
    <row r="896" ht="19.5" customHeight="1">
      <c r="A896" s="114"/>
      <c r="B896" s="120"/>
      <c r="C896" s="114"/>
      <c r="D896" s="114"/>
    </row>
    <row r="897" ht="19.5" customHeight="1">
      <c r="A897" s="114"/>
      <c r="B897" s="120"/>
      <c r="C897" s="114"/>
      <c r="D897" s="114"/>
    </row>
    <row r="898" ht="19.5" customHeight="1">
      <c r="A898" s="114"/>
      <c r="B898" s="120"/>
      <c r="C898" s="114"/>
      <c r="D898" s="114"/>
    </row>
    <row r="899" ht="19.5" customHeight="1">
      <c r="A899" s="114"/>
      <c r="B899" s="120"/>
      <c r="C899" s="114"/>
      <c r="D899" s="114"/>
    </row>
    <row r="900" ht="19.5" customHeight="1">
      <c r="A900" s="114"/>
      <c r="B900" s="120"/>
      <c r="C900" s="114"/>
      <c r="D900" s="114"/>
    </row>
    <row r="901" ht="19.5" customHeight="1">
      <c r="A901" s="114"/>
      <c r="B901" s="120"/>
      <c r="C901" s="114"/>
      <c r="D901" s="114"/>
    </row>
    <row r="902" ht="19.5" customHeight="1">
      <c r="A902" s="114"/>
      <c r="B902" s="120"/>
      <c r="C902" s="114"/>
      <c r="D902" s="114"/>
    </row>
    <row r="903" ht="19.5" customHeight="1">
      <c r="A903" s="114"/>
      <c r="B903" s="120"/>
      <c r="C903" s="114"/>
      <c r="D903" s="114"/>
    </row>
    <row r="904" ht="19.5" customHeight="1">
      <c r="A904" s="114"/>
      <c r="B904" s="120"/>
      <c r="C904" s="114"/>
      <c r="D904" s="114"/>
    </row>
    <row r="905" ht="19.5" customHeight="1">
      <c r="A905" s="114"/>
      <c r="B905" s="120"/>
      <c r="C905" s="114"/>
      <c r="D905" s="114"/>
    </row>
    <row r="906" ht="19.5" customHeight="1">
      <c r="A906" s="114"/>
      <c r="B906" s="120"/>
      <c r="C906" s="114"/>
      <c r="D906" s="114"/>
    </row>
    <row r="907" ht="19.5" customHeight="1">
      <c r="A907" s="114"/>
      <c r="B907" s="120"/>
      <c r="C907" s="114"/>
      <c r="D907" s="114"/>
    </row>
    <row r="908" ht="19.5" customHeight="1">
      <c r="A908" s="114"/>
      <c r="B908" s="120"/>
      <c r="C908" s="114"/>
      <c r="D908" s="114"/>
    </row>
    <row r="909" ht="19.5" customHeight="1">
      <c r="A909" s="114"/>
      <c r="B909" s="120"/>
      <c r="C909" s="114"/>
      <c r="D909" s="114"/>
    </row>
    <row r="910" ht="19.5" customHeight="1">
      <c r="A910" s="114"/>
      <c r="B910" s="120"/>
      <c r="C910" s="114"/>
      <c r="D910" s="114"/>
    </row>
    <row r="911" ht="19.5" customHeight="1">
      <c r="A911" s="114"/>
      <c r="B911" s="120"/>
      <c r="C911" s="114"/>
      <c r="D911" s="114"/>
    </row>
    <row r="912" ht="19.5" customHeight="1">
      <c r="A912" s="114"/>
      <c r="B912" s="120"/>
      <c r="C912" s="114"/>
      <c r="D912" s="114"/>
    </row>
    <row r="913" ht="19.5" customHeight="1">
      <c r="A913" s="114"/>
      <c r="B913" s="120"/>
      <c r="C913" s="114"/>
      <c r="D913" s="114"/>
    </row>
    <row r="914" ht="19.5" customHeight="1">
      <c r="A914" s="114"/>
      <c r="B914" s="120"/>
      <c r="C914" s="114"/>
      <c r="D914" s="114"/>
    </row>
    <row r="915" ht="19.5" customHeight="1">
      <c r="A915" s="114"/>
      <c r="B915" s="120"/>
      <c r="C915" s="114"/>
      <c r="D915" s="114"/>
    </row>
    <row r="916" ht="19.5" customHeight="1">
      <c r="A916" s="114"/>
      <c r="B916" s="120"/>
      <c r="C916" s="114"/>
      <c r="D916" s="114"/>
    </row>
    <row r="917" ht="19.5" customHeight="1">
      <c r="A917" s="114"/>
      <c r="B917" s="120"/>
      <c r="C917" s="114"/>
      <c r="D917" s="114"/>
    </row>
    <row r="918" ht="19.5" customHeight="1">
      <c r="A918" s="114"/>
      <c r="B918" s="120"/>
      <c r="C918" s="114"/>
      <c r="D918" s="114"/>
    </row>
    <row r="919" ht="19.5" customHeight="1">
      <c r="A919" s="114"/>
      <c r="B919" s="120"/>
      <c r="C919" s="114"/>
      <c r="D919" s="114"/>
    </row>
    <row r="920" ht="19.5" customHeight="1">
      <c r="A920" s="114"/>
      <c r="B920" s="120"/>
      <c r="C920" s="114"/>
      <c r="D920" s="114"/>
    </row>
    <row r="921" ht="19.5" customHeight="1">
      <c r="A921" s="114"/>
      <c r="B921" s="120"/>
      <c r="C921" s="114"/>
      <c r="D921" s="114"/>
    </row>
    <row r="922" ht="19.5" customHeight="1">
      <c r="A922" s="114"/>
      <c r="B922" s="120"/>
      <c r="C922" s="114"/>
      <c r="D922" s="114"/>
    </row>
    <row r="923" ht="19.5" customHeight="1">
      <c r="A923" s="114"/>
      <c r="B923" s="120"/>
      <c r="C923" s="114"/>
      <c r="D923" s="114"/>
    </row>
    <row r="924" ht="19.5" customHeight="1">
      <c r="A924" s="114"/>
      <c r="B924" s="120"/>
      <c r="C924" s="114"/>
      <c r="D924" s="114"/>
    </row>
    <row r="925" ht="19.5" customHeight="1">
      <c r="A925" s="114"/>
      <c r="B925" s="120"/>
      <c r="C925" s="114"/>
      <c r="D925" s="114"/>
    </row>
    <row r="926" ht="19.5" customHeight="1">
      <c r="A926" s="114"/>
      <c r="B926" s="120"/>
      <c r="C926" s="114"/>
      <c r="D926" s="114"/>
    </row>
    <row r="927" ht="19.5" customHeight="1">
      <c r="A927" s="114"/>
      <c r="B927" s="120"/>
      <c r="C927" s="114"/>
      <c r="D927" s="114"/>
    </row>
    <row r="928" ht="19.5" customHeight="1">
      <c r="A928" s="114"/>
      <c r="B928" s="120"/>
      <c r="C928" s="114"/>
      <c r="D928" s="114"/>
    </row>
    <row r="929" ht="19.5" customHeight="1">
      <c r="A929" s="114"/>
      <c r="B929" s="120"/>
      <c r="C929" s="114"/>
      <c r="D929" s="114"/>
    </row>
    <row r="930" ht="19.5" customHeight="1">
      <c r="A930" s="114"/>
      <c r="B930" s="120"/>
      <c r="C930" s="114"/>
      <c r="D930" s="114"/>
    </row>
    <row r="931" ht="19.5" customHeight="1">
      <c r="A931" s="114"/>
      <c r="B931" s="120"/>
      <c r="C931" s="114"/>
      <c r="D931" s="114"/>
    </row>
    <row r="932" ht="19.5" customHeight="1">
      <c r="A932" s="114"/>
      <c r="B932" s="120"/>
      <c r="C932" s="114"/>
      <c r="D932" s="114"/>
    </row>
    <row r="933" ht="19.5" customHeight="1">
      <c r="A933" s="114"/>
      <c r="B933" s="120"/>
      <c r="C933" s="114"/>
      <c r="D933" s="114"/>
    </row>
    <row r="934" ht="19.5" customHeight="1">
      <c r="A934" s="114"/>
      <c r="B934" s="120"/>
      <c r="C934" s="114"/>
      <c r="D934" s="114"/>
    </row>
    <row r="935" ht="19.5" customHeight="1">
      <c r="A935" s="114"/>
      <c r="B935" s="120"/>
      <c r="C935" s="114"/>
      <c r="D935" s="114"/>
    </row>
    <row r="936" ht="19.5" customHeight="1">
      <c r="A936" s="114"/>
      <c r="B936" s="120"/>
      <c r="C936" s="114"/>
      <c r="D936" s="114"/>
    </row>
    <row r="937" ht="19.5" customHeight="1">
      <c r="A937" s="114"/>
      <c r="B937" s="120"/>
      <c r="C937" s="114"/>
      <c r="D937" s="114"/>
    </row>
    <row r="938" ht="19.5" customHeight="1">
      <c r="A938" s="114"/>
      <c r="B938" s="120"/>
      <c r="C938" s="114"/>
      <c r="D938" s="114"/>
    </row>
    <row r="939" ht="19.5" customHeight="1">
      <c r="A939" s="114"/>
      <c r="B939" s="120"/>
      <c r="C939" s="114"/>
      <c r="D939" s="114"/>
    </row>
    <row r="940" ht="19.5" customHeight="1">
      <c r="A940" s="114"/>
      <c r="B940" s="120"/>
      <c r="C940" s="114"/>
      <c r="D940" s="114"/>
    </row>
    <row r="941" ht="19.5" customHeight="1">
      <c r="A941" s="114"/>
      <c r="B941" s="120"/>
      <c r="C941" s="114"/>
      <c r="D941" s="114"/>
    </row>
    <row r="942" ht="19.5" customHeight="1">
      <c r="A942" s="114"/>
      <c r="B942" s="120"/>
      <c r="C942" s="114"/>
      <c r="D942" s="114"/>
    </row>
    <row r="943" ht="19.5" customHeight="1">
      <c r="A943" s="114"/>
      <c r="B943" s="120"/>
      <c r="C943" s="114"/>
      <c r="D943" s="114"/>
    </row>
    <row r="944" ht="19.5" customHeight="1">
      <c r="A944" s="114"/>
      <c r="B944" s="120"/>
      <c r="C944" s="114"/>
      <c r="D944" s="114"/>
    </row>
    <row r="945" ht="19.5" customHeight="1">
      <c r="A945" s="114"/>
      <c r="B945" s="120"/>
      <c r="C945" s="114"/>
      <c r="D945" s="114"/>
    </row>
    <row r="946" ht="19.5" customHeight="1">
      <c r="A946" s="114"/>
      <c r="B946" s="120"/>
      <c r="C946" s="114"/>
      <c r="D946" s="114"/>
    </row>
    <row r="947" ht="19.5" customHeight="1">
      <c r="A947" s="114"/>
      <c r="B947" s="120"/>
      <c r="C947" s="114"/>
      <c r="D947" s="114"/>
    </row>
    <row r="948" ht="19.5" customHeight="1">
      <c r="A948" s="114"/>
      <c r="B948" s="120"/>
      <c r="C948" s="114"/>
      <c r="D948" s="114"/>
    </row>
    <row r="949" ht="19.5" customHeight="1">
      <c r="A949" s="114"/>
      <c r="B949" s="120"/>
      <c r="C949" s="114"/>
      <c r="D949" s="114"/>
    </row>
    <row r="950" ht="19.5" customHeight="1">
      <c r="A950" s="114"/>
      <c r="B950" s="120"/>
      <c r="C950" s="114"/>
      <c r="D950" s="114"/>
    </row>
    <row r="951" ht="19.5" customHeight="1">
      <c r="A951" s="114"/>
      <c r="B951" s="120"/>
      <c r="C951" s="114"/>
      <c r="D951" s="114"/>
    </row>
    <row r="952" ht="19.5" customHeight="1">
      <c r="A952" s="114"/>
      <c r="B952" s="120"/>
      <c r="C952" s="114"/>
      <c r="D952" s="114"/>
    </row>
    <row r="953" ht="19.5" customHeight="1">
      <c r="A953" s="114"/>
      <c r="B953" s="120"/>
      <c r="C953" s="114"/>
      <c r="D953" s="114"/>
    </row>
    <row r="954" ht="19.5" customHeight="1">
      <c r="A954" s="114"/>
      <c r="B954" s="120"/>
      <c r="C954" s="114"/>
      <c r="D954" s="114"/>
    </row>
    <row r="955" ht="19.5" customHeight="1">
      <c r="A955" s="114"/>
      <c r="B955" s="120"/>
      <c r="C955" s="114"/>
      <c r="D955" s="114"/>
    </row>
    <row r="956" ht="19.5" customHeight="1">
      <c r="A956" s="114"/>
      <c r="B956" s="120"/>
      <c r="C956" s="114"/>
      <c r="D956" s="114"/>
    </row>
    <row r="957" ht="19.5" customHeight="1">
      <c r="A957" s="114"/>
      <c r="B957" s="120"/>
      <c r="C957" s="114"/>
      <c r="D957" s="114"/>
    </row>
    <row r="958" ht="19.5" customHeight="1">
      <c r="A958" s="114"/>
      <c r="B958" s="120"/>
      <c r="C958" s="114"/>
      <c r="D958" s="114"/>
    </row>
    <row r="959" ht="19.5" customHeight="1">
      <c r="A959" s="114"/>
      <c r="B959" s="120"/>
      <c r="C959" s="114"/>
      <c r="D959" s="114"/>
    </row>
    <row r="960" ht="19.5" customHeight="1">
      <c r="A960" s="114"/>
      <c r="B960" s="120"/>
      <c r="C960" s="114"/>
      <c r="D960" s="114"/>
    </row>
    <row r="961" ht="19.5" customHeight="1">
      <c r="A961" s="114"/>
      <c r="B961" s="120"/>
      <c r="C961" s="114"/>
      <c r="D961" s="114"/>
    </row>
    <row r="962" ht="19.5" customHeight="1">
      <c r="A962" s="114"/>
      <c r="B962" s="120"/>
      <c r="C962" s="114"/>
      <c r="D962" s="114"/>
    </row>
    <row r="963" ht="19.5" customHeight="1">
      <c r="A963" s="114"/>
      <c r="B963" s="120"/>
      <c r="C963" s="114"/>
      <c r="D963" s="114"/>
    </row>
    <row r="964" ht="19.5" customHeight="1">
      <c r="A964" s="114"/>
      <c r="B964" s="120"/>
      <c r="C964" s="114"/>
      <c r="D964" s="114"/>
    </row>
    <row r="965" ht="19.5" customHeight="1">
      <c r="A965" s="114"/>
      <c r="B965" s="120"/>
      <c r="C965" s="114"/>
      <c r="D965" s="114"/>
    </row>
    <row r="966" ht="19.5" customHeight="1">
      <c r="A966" s="114"/>
      <c r="B966" s="120"/>
      <c r="C966" s="114"/>
      <c r="D966" s="114"/>
    </row>
    <row r="967" ht="19.5" customHeight="1">
      <c r="A967" s="114"/>
      <c r="B967" s="120"/>
      <c r="C967" s="114"/>
      <c r="D967" s="114"/>
    </row>
    <row r="968" ht="19.5" customHeight="1">
      <c r="A968" s="114"/>
      <c r="B968" s="120"/>
      <c r="C968" s="114"/>
      <c r="D968" s="114"/>
    </row>
    <row r="969" ht="19.5" customHeight="1">
      <c r="A969" s="114"/>
      <c r="B969" s="120"/>
      <c r="C969" s="114"/>
      <c r="D969" s="114"/>
    </row>
    <row r="970" ht="19.5" customHeight="1">
      <c r="A970" s="114"/>
      <c r="B970" s="120"/>
      <c r="C970" s="114"/>
      <c r="D970" s="114"/>
    </row>
    <row r="971" ht="19.5" customHeight="1">
      <c r="A971" s="114"/>
      <c r="B971" s="120"/>
      <c r="C971" s="114"/>
      <c r="D971" s="114"/>
    </row>
    <row r="972" ht="19.5" customHeight="1">
      <c r="A972" s="114"/>
      <c r="B972" s="120"/>
      <c r="C972" s="114"/>
      <c r="D972" s="114"/>
    </row>
    <row r="973" ht="19.5" customHeight="1">
      <c r="A973" s="114"/>
      <c r="B973" s="120"/>
      <c r="C973" s="114"/>
      <c r="D973" s="114"/>
    </row>
    <row r="974" ht="19.5" customHeight="1">
      <c r="A974" s="114"/>
      <c r="B974" s="120"/>
      <c r="C974" s="114"/>
      <c r="D974" s="114"/>
    </row>
    <row r="975" ht="19.5" customHeight="1">
      <c r="A975" s="114"/>
      <c r="B975" s="120"/>
      <c r="C975" s="114"/>
      <c r="D975" s="114"/>
    </row>
    <row r="976" ht="19.5" customHeight="1">
      <c r="A976" s="114"/>
      <c r="B976" s="120"/>
      <c r="C976" s="114"/>
      <c r="D976" s="114"/>
    </row>
    <row r="977" ht="19.5" customHeight="1">
      <c r="A977" s="114"/>
      <c r="B977" s="120"/>
      <c r="C977" s="114"/>
      <c r="D977" s="114"/>
    </row>
    <row r="978" ht="19.5" customHeight="1">
      <c r="A978" s="114"/>
      <c r="B978" s="120"/>
      <c r="C978" s="114"/>
      <c r="D978" s="114"/>
    </row>
    <row r="979" ht="19.5" customHeight="1">
      <c r="A979" s="114"/>
      <c r="B979" s="120"/>
      <c r="C979" s="114"/>
      <c r="D979" s="114"/>
    </row>
    <row r="980" ht="19.5" customHeight="1">
      <c r="A980" s="114"/>
      <c r="B980" s="120"/>
      <c r="C980" s="114"/>
      <c r="D980" s="114"/>
    </row>
    <row r="981" ht="19.5" customHeight="1">
      <c r="A981" s="114"/>
      <c r="B981" s="120"/>
      <c r="C981" s="114"/>
      <c r="D981" s="114"/>
    </row>
    <row r="982" ht="19.5" customHeight="1">
      <c r="A982" s="114"/>
      <c r="B982" s="120"/>
      <c r="C982" s="114"/>
      <c r="D982" s="114"/>
    </row>
    <row r="983" ht="19.5" customHeight="1">
      <c r="A983" s="114"/>
      <c r="B983" s="120"/>
      <c r="C983" s="114"/>
      <c r="D983" s="114"/>
    </row>
    <row r="984" ht="19.5" customHeight="1">
      <c r="A984" s="114"/>
      <c r="B984" s="120"/>
      <c r="C984" s="114"/>
      <c r="D984" s="114"/>
    </row>
    <row r="985" ht="19.5" customHeight="1">
      <c r="A985" s="114"/>
      <c r="B985" s="120"/>
      <c r="C985" s="114"/>
      <c r="D985" s="114"/>
    </row>
    <row r="986" ht="19.5" customHeight="1">
      <c r="A986" s="114"/>
      <c r="B986" s="120"/>
      <c r="C986" s="114"/>
      <c r="D986" s="114"/>
    </row>
    <row r="987" ht="19.5" customHeight="1">
      <c r="A987" s="114"/>
      <c r="B987" s="120"/>
      <c r="C987" s="114"/>
      <c r="D987" s="114"/>
    </row>
    <row r="988" ht="19.5" customHeight="1">
      <c r="A988" s="114"/>
      <c r="B988" s="120"/>
      <c r="C988" s="114"/>
      <c r="D988" s="114"/>
    </row>
    <row r="989" ht="19.5" customHeight="1">
      <c r="A989" s="114"/>
      <c r="B989" s="120"/>
      <c r="C989" s="114"/>
      <c r="D989" s="114"/>
    </row>
    <row r="990" ht="19.5" customHeight="1">
      <c r="A990" s="114"/>
      <c r="B990" s="120"/>
      <c r="C990" s="114"/>
      <c r="D990" s="114"/>
    </row>
    <row r="991" ht="19.5" customHeight="1">
      <c r="A991" s="114"/>
      <c r="B991" s="120"/>
      <c r="C991" s="114"/>
      <c r="D991" s="114"/>
    </row>
    <row r="992" ht="19.5" customHeight="1">
      <c r="A992" s="114"/>
      <c r="B992" s="120"/>
      <c r="C992" s="114"/>
      <c r="D992" s="114"/>
    </row>
    <row r="993" ht="19.5" customHeight="1">
      <c r="A993" s="114"/>
      <c r="B993" s="120"/>
      <c r="C993" s="114"/>
      <c r="D993" s="114"/>
    </row>
    <row r="994" ht="19.5" customHeight="1">
      <c r="A994" s="114"/>
      <c r="B994" s="120"/>
      <c r="C994" s="114"/>
      <c r="D994" s="114"/>
    </row>
    <row r="995" ht="19.5" customHeight="1">
      <c r="A995" s="114"/>
      <c r="B995" s="120"/>
      <c r="C995" s="114"/>
      <c r="D995" s="114"/>
    </row>
    <row r="996" ht="19.5" customHeight="1">
      <c r="A996" s="114"/>
      <c r="B996" s="120"/>
      <c r="C996" s="114"/>
      <c r="D996" s="114"/>
    </row>
    <row r="997" ht="19.5" customHeight="1">
      <c r="A997" s="114"/>
      <c r="B997" s="120"/>
      <c r="C997" s="114"/>
      <c r="D997" s="114"/>
    </row>
    <row r="998" ht="19.5" customHeight="1">
      <c r="A998" s="114"/>
      <c r="B998" s="120"/>
      <c r="C998" s="114"/>
      <c r="D998" s="114"/>
    </row>
    <row r="999" ht="19.5" customHeight="1">
      <c r="A999" s="114"/>
      <c r="B999" s="120"/>
      <c r="C999" s="114"/>
      <c r="D999" s="114"/>
    </row>
    <row r="1000" ht="19.5" customHeight="1">
      <c r="A1000" s="114"/>
      <c r="B1000" s="120"/>
      <c r="C1000" s="114"/>
      <c r="D1000" s="114"/>
    </row>
    <row r="1001" ht="19.5" customHeight="1">
      <c r="A1001" s="114"/>
      <c r="B1001" s="120"/>
      <c r="C1001" s="114"/>
      <c r="D1001" s="114"/>
    </row>
    <row r="1002" ht="19.5" customHeight="1">
      <c r="A1002" s="114"/>
      <c r="B1002" s="120"/>
      <c r="C1002" s="114"/>
      <c r="D1002" s="114"/>
    </row>
    <row r="1003" ht="19.5" customHeight="1">
      <c r="A1003" s="114"/>
      <c r="B1003" s="120"/>
      <c r="C1003" s="114"/>
      <c r="D1003" s="114"/>
    </row>
    <row r="1004" ht="19.5" customHeight="1">
      <c r="A1004" s="114"/>
      <c r="B1004" s="120"/>
      <c r="C1004" s="114"/>
      <c r="D1004" s="114"/>
    </row>
    <row r="1005" ht="19.5" customHeight="1">
      <c r="A1005" s="114"/>
      <c r="B1005" s="120"/>
      <c r="C1005" s="114"/>
      <c r="D1005" s="114"/>
    </row>
    <row r="1006" ht="19.5" customHeight="1">
      <c r="A1006" s="114"/>
      <c r="B1006" s="120"/>
      <c r="C1006" s="114"/>
      <c r="D1006" s="114"/>
    </row>
    <row r="1007" ht="19.5" customHeight="1">
      <c r="A1007" s="114"/>
      <c r="B1007" s="120"/>
      <c r="C1007" s="114"/>
      <c r="D1007" s="114"/>
    </row>
    <row r="1008" ht="19.5" customHeight="1">
      <c r="A1008" s="114"/>
      <c r="B1008" s="120"/>
      <c r="C1008" s="114"/>
      <c r="D1008" s="114"/>
    </row>
    <row r="1009" ht="19.5" customHeight="1">
      <c r="A1009" s="114"/>
      <c r="B1009" s="120"/>
      <c r="C1009" s="114"/>
      <c r="D1009" s="114"/>
    </row>
    <row r="1010" ht="19.5" customHeight="1">
      <c r="A1010" s="114"/>
      <c r="B1010" s="120"/>
      <c r="C1010" s="114"/>
      <c r="D1010" s="114"/>
    </row>
    <row r="1011" ht="19.5" customHeight="1">
      <c r="A1011" s="114"/>
      <c r="B1011" s="120"/>
      <c r="C1011" s="114"/>
      <c r="D1011" s="114"/>
    </row>
    <row r="1012" ht="19.5" customHeight="1">
      <c r="A1012" s="114"/>
      <c r="B1012" s="120"/>
      <c r="C1012" s="114"/>
      <c r="D1012" s="114"/>
    </row>
    <row r="1013" ht="19.5" customHeight="1">
      <c r="A1013" s="114"/>
      <c r="B1013" s="120"/>
      <c r="C1013" s="114"/>
      <c r="D1013" s="114"/>
    </row>
    <row r="1014" ht="19.5" customHeight="1">
      <c r="A1014" s="114"/>
      <c r="B1014" s="120"/>
      <c r="C1014" s="114"/>
      <c r="D1014" s="114"/>
    </row>
    <row r="1015" ht="19.5" customHeight="1">
      <c r="A1015" s="114"/>
      <c r="B1015" s="120"/>
      <c r="C1015" s="114"/>
      <c r="D1015" s="114"/>
    </row>
  </sheetData>
  <mergeCells count="5">
    <mergeCell ref="B1:C1"/>
    <mergeCell ref="B2:C2"/>
    <mergeCell ref="B3:C3"/>
    <mergeCell ref="B4:C4"/>
    <mergeCell ref="B6:C6"/>
  </mergeCells>
  <drawing r:id="rId1"/>
</worksheet>
</file>